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wckor.sharepoint.com/sites/KR-ADV-SB_NPL_Sell/Shared Documents/1. NPL온라인플랫폼/"/>
    </mc:Choice>
  </mc:AlternateContent>
  <xr:revisionPtr revIDLastSave="60" documentId="13_ncr:1_{9F69131A-93B1-4853-92C3-3A243451764D}" xr6:coauthVersionLast="47" xr6:coauthVersionMax="47" xr10:uidLastSave="{17191E26-A26B-4460-93D7-B177A2BAC6EA}"/>
  <bookViews>
    <workbookView xWindow="-108" yWindow="-108" windowWidth="23256" windowHeight="13896" tabRatio="870" activeTab="3" xr2:uid="{00000000-000D-0000-FFFF-FFFF00000000}"/>
  </bookViews>
  <sheets>
    <sheet name="Index" sheetId="12" r:id="rId1"/>
    <sheet name="▶개요" sheetId="8" r:id="rId2"/>
    <sheet name="상단메뉴" sheetId="14" r:id="rId3"/>
    <sheet name="정보구조도" sheetId="3" r:id="rId4"/>
    <sheet name="▶상세페이지" sheetId="7" r:id="rId5"/>
    <sheet name="C1 공지사항" sheetId="19" r:id="rId6"/>
    <sheet name="C2-(1) Pool 목록" sheetId="4" r:id="rId7"/>
    <sheet name="C2-(2) Pool 상세정보" sheetId="5" r:id="rId8"/>
    <sheet name="C3-(2) 거래자료 등록-매도인" sheetId="9" r:id="rId9"/>
    <sheet name="C3-(2) 거래자료 등록-매수인" sheetId="18" r:id="rId10"/>
    <sheet name="C3-(2) 매각자료 등록-회계법인" sheetId="10" r:id="rId11"/>
    <sheet name="D2-(1) 용어 사전" sheetId="22" r:id="rId12"/>
    <sheet name="X 회원가입" sheetId="16" r:id="rId13"/>
    <sheet name="Y 마이페이지" sheetId="15" r:id="rId14"/>
    <sheet name="Z1-(1) 회원 관리" sheetId="20" r:id="rId15"/>
    <sheet name="Z2-(1) 상담 관리" sheetId="21" r:id="rId16"/>
    <sheet name="▶Backup" sheetId="6" r:id="rId17"/>
  </sheets>
  <definedNames>
    <definedName name="_xlnm._FilterDatabase" localSheetId="11" hidden="1">'D2-(1) 용어 사전'!$B$3:$D$14</definedName>
    <definedName name="SheetName" localSheetId="0">"Index"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2" l="1" a="1"/>
  <c r="B2" i="22" s="1"/>
  <c r="B2" i="21" a="1"/>
  <c r="B2" i="21" s="1"/>
  <c r="B2" i="20" a="1"/>
  <c r="B2" i="20" s="1"/>
  <c r="B2" i="19" a="1"/>
  <c r="B2" i="19" s="1"/>
  <c r="B2" i="18" a="1"/>
  <c r="B2" i="18" s="1"/>
  <c r="B2" i="10" a="1"/>
  <c r="B2" i="10" s="1"/>
  <c r="B2" i="9" a="1"/>
  <c r="B2" i="9" s="1"/>
  <c r="B2" i="5" a="1"/>
  <c r="B2" i="5" s="1"/>
  <c r="B2" i="4" a="1"/>
  <c r="B2" i="4" s="1"/>
  <c r="B2" i="16" a="1"/>
  <c r="B2" i="16" s="1"/>
  <c r="B2" i="15" a="1"/>
  <c r="B2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Mingyu Oh</author>
  </authors>
  <commentList>
    <comment ref="E20" authorId="0" shapeId="0" xr:uid="{18067CB7-6F82-44AA-AECC-EADC5AD0AC65}">
      <text>
        <r>
          <rPr>
            <b/>
            <sz val="9"/>
            <color indexed="81"/>
            <rFont val="Tahoma"/>
            <family val="2"/>
          </rPr>
          <t>Mingyu Oh: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종결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
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검토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>양도인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양수인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Mingyu Oh</author>
  </authors>
  <commentList>
    <comment ref="H3" authorId="0" shapeId="0" xr:uid="{F0E83259-0D63-44BD-8AF6-F7AC75A41769}">
      <text>
        <r>
          <rPr>
            <b/>
            <sz val="9"/>
            <color indexed="81"/>
            <rFont val="Tahoma"/>
            <family val="2"/>
          </rPr>
          <t>Mingyu Oh: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특이사항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존재시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Mingyu Oh</author>
  </authors>
  <commentList>
    <comment ref="H3" authorId="0" shapeId="0" xr:uid="{9B8F8852-082E-44E7-95F2-84173FEE5E18}">
      <text>
        <r>
          <rPr>
            <b/>
            <sz val="9"/>
            <color indexed="81"/>
            <rFont val="Tahoma"/>
            <family val="2"/>
          </rPr>
          <t>Mingyu Oh: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특이사항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존재시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Mingyu Oh</author>
  </authors>
  <commentList>
    <comment ref="H3" authorId="0" shapeId="0" xr:uid="{C4B70A2A-B7A7-4056-9FF5-DBDBF1E72EE7}">
      <text>
        <r>
          <rPr>
            <b/>
            <sz val="9"/>
            <color indexed="81"/>
            <rFont val="Tahoma"/>
            <family val="2"/>
          </rPr>
          <t>Mingyu Oh: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특이사항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존재시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Mingyu Oh</author>
  </authors>
  <commentList>
    <comment ref="M3" authorId="0" shapeId="0" xr:uid="{DC375A50-A278-4D5E-BB2E-6EC4A20D5D39}">
      <text>
        <r>
          <rPr>
            <b/>
            <sz val="9"/>
            <color indexed="81"/>
            <rFont val="Tahoma"/>
            <family val="2"/>
          </rPr>
          <t>Mingyu Oh: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인증된</t>
        </r>
        <r>
          <rPr>
            <sz val="9"/>
            <color indexed="81"/>
            <rFont val="Tahoma"/>
            <family val="2"/>
          </rPr>
          <t xml:space="preserve"> ID &amp; IP </t>
        </r>
        <r>
          <rPr>
            <sz val="9"/>
            <color indexed="81"/>
            <rFont val="돋움"/>
            <family val="3"/>
            <charset val="129"/>
          </rPr>
          <t>한정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시스템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<sst xmlns="http://schemas.openxmlformats.org/spreadsheetml/2006/main" count="688" uniqueCount="378">
  <si>
    <t>항목</t>
  </si>
  <si>
    <t>Pool 명</t>
  </si>
  <si>
    <t>양도인</t>
  </si>
  <si>
    <t>양도인 자문사</t>
  </si>
  <si>
    <t>양수인</t>
  </si>
  <si>
    <t>양수인 자문사</t>
  </si>
  <si>
    <t>양수도가격 (원)</t>
  </si>
  <si>
    <t>매각가율 (%)</t>
  </si>
  <si>
    <t>비고</t>
  </si>
  <si>
    <t>[ __________________ ]</t>
  </si>
  <si>
    <t>달력 아이콘을 클릭하여 날짜 선택</t>
  </si>
  <si>
    <t>숫자만 입력 (자동으로 콤마 삽입)</t>
  </si>
  <si>
    <t>기타</t>
    <phoneticPr fontId="1" type="noConversion"/>
  </si>
  <si>
    <t>차주수</t>
    <phoneticPr fontId="1" type="noConversion"/>
  </si>
  <si>
    <t>채권수</t>
    <phoneticPr fontId="1" type="noConversion"/>
  </si>
  <si>
    <t>[ 무담보 v]</t>
    <phoneticPr fontId="1" type="noConversion"/>
  </si>
  <si>
    <t>매각방식</t>
    <phoneticPr fontId="1" type="noConversion"/>
  </si>
  <si>
    <t>입찰참여자 수</t>
    <phoneticPr fontId="1" type="noConversion"/>
  </si>
  <si>
    <t>[ 제한적 경쟁입찰 v]</t>
    <phoneticPr fontId="1" type="noConversion"/>
  </si>
  <si>
    <t>최종 입찰 참여자 수</t>
    <phoneticPr fontId="1" type="noConversion"/>
  </si>
  <si>
    <t>평균 연체기간</t>
    <phoneticPr fontId="1" type="noConversion"/>
  </si>
  <si>
    <t>[ 1,250,000,000,000 ]</t>
    <phoneticPr fontId="1" type="noConversion"/>
  </si>
  <si>
    <t>[ 1,000,000,000,000 ]</t>
    <phoneticPr fontId="1" type="noConversion"/>
  </si>
  <si>
    <t>(자동 계산 필드, 입력 불가)</t>
    <phoneticPr fontId="1" type="noConversion"/>
  </si>
  <si>
    <r>
      <t>[ 2026-01-15 ]</t>
    </r>
    <r>
      <rPr>
        <b/>
        <sz val="10"/>
        <color rgb="FF374151"/>
        <rFont val="맑은 고딕"/>
        <family val="3"/>
        <charset val="129"/>
        <scheme val="major"/>
      </rPr>
      <t> 📅</t>
    </r>
  </si>
  <si>
    <t>공지사항</t>
    <phoneticPr fontId="1" type="noConversion"/>
  </si>
  <si>
    <t>[ OO 저축은행 v]</t>
    <phoneticPr fontId="1" type="noConversion"/>
  </si>
  <si>
    <t>거래정보</t>
    <phoneticPr fontId="1" type="noConversion"/>
  </si>
  <si>
    <t>고객지원</t>
    <phoneticPr fontId="1" type="noConversion"/>
  </si>
  <si>
    <t>비고</t>
    <phoneticPr fontId="1" type="noConversion"/>
  </si>
  <si>
    <t>No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</si>
  <si>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</si>
  <si>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</si>
  <si>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</si>
  <si>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</si>
  <si>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이용 가이드</t>
    <phoneticPr fontId="1" type="noConversion"/>
  </si>
  <si>
    <t>용어 사전</t>
    <phoneticPr fontId="1" type="noConversion"/>
  </si>
  <si>
    <t>FAQ</t>
    <phoneticPr fontId="1" type="noConversion"/>
  </si>
  <si>
    <t>회계법인</t>
    <phoneticPr fontId="1" type="noConversion"/>
  </si>
  <si>
    <t>접근권한</t>
    <phoneticPr fontId="1" type="noConversion"/>
  </si>
  <si>
    <t>O</t>
    <phoneticPr fontId="1" type="noConversion"/>
  </si>
  <si>
    <t>OPB (억원)</t>
  </si>
  <si>
    <t>양수도가격 (억원)</t>
  </si>
  <si>
    <t>[보기]</t>
  </si>
  <si>
    <t>대신F&amp;I</t>
  </si>
  <si>
    <t>...</t>
  </si>
  <si>
    <t>구분</t>
  </si>
  <si>
    <t>내용</t>
  </si>
  <si>
    <t>거래 참여자 정보</t>
  </si>
  <si>
    <t>기타</t>
  </si>
  <si>
    <t>거래 정보</t>
    <phoneticPr fontId="1" type="noConversion"/>
  </si>
  <si>
    <t>담보 정보</t>
    <phoneticPr fontId="1" type="noConversion"/>
  </si>
  <si>
    <t>채권 정보</t>
  </si>
  <si>
    <t>채권 정보</t>
    <phoneticPr fontId="1" type="noConversion"/>
  </si>
  <si>
    <t>가격 정보</t>
    <phoneticPr fontId="1" type="noConversion"/>
  </si>
  <si>
    <t>담보 / 무담보</t>
    <phoneticPr fontId="1" type="noConversion"/>
  </si>
  <si>
    <t>담보 - Regular / Special 등
무담보 - CCRS / IRL / 일반무담보 등</t>
    <phoneticPr fontId="1" type="noConversion"/>
  </si>
  <si>
    <t>[ CCRS v]</t>
    <phoneticPr fontId="1" type="noConversion"/>
  </si>
  <si>
    <t>예: PwC-SB 2026-2 Program</t>
    <phoneticPr fontId="1" type="noConversion"/>
  </si>
  <si>
    <t>파일명</t>
    <phoneticPr fontId="1" type="noConversion"/>
  </si>
  <si>
    <t>파일다운</t>
    <phoneticPr fontId="1" type="noConversion"/>
  </si>
  <si>
    <t>등록일</t>
    <phoneticPr fontId="1" type="noConversion"/>
  </si>
  <si>
    <t>등록자</t>
    <phoneticPr fontId="1" type="noConversion"/>
  </si>
  <si>
    <t>[ PwC-SB 2026-2 Program v]</t>
    <phoneticPr fontId="1" type="noConversion"/>
  </si>
  <si>
    <t>💾</t>
    <phoneticPr fontId="1" type="noConversion"/>
  </si>
  <si>
    <t>홍길동</t>
    <phoneticPr fontId="1" type="noConversion"/>
  </si>
  <si>
    <t>구분</t>
    <phoneticPr fontId="1" type="noConversion"/>
  </si>
  <si>
    <t>현황</t>
  </si>
  <si>
    <t>진행</t>
    <phoneticPr fontId="1" type="noConversion"/>
  </si>
  <si>
    <t>종결</t>
    <phoneticPr fontId="1" type="noConversion"/>
  </si>
  <si>
    <t>중단</t>
    <phoneticPr fontId="1" type="noConversion"/>
  </si>
  <si>
    <t>[Dropbox]</t>
    <phoneticPr fontId="1" type="noConversion"/>
  </si>
  <si>
    <t>담보</t>
    <phoneticPr fontId="1" type="noConversion"/>
  </si>
  <si>
    <t>무담보</t>
    <phoneticPr fontId="1" type="noConversion"/>
  </si>
  <si>
    <t>담보유형(소)</t>
  </si>
  <si>
    <t>담보유형(소)</t>
    <phoneticPr fontId="1" type="noConversion"/>
  </si>
  <si>
    <t>담보유형(대)</t>
  </si>
  <si>
    <t>담보유형(대)</t>
    <phoneticPr fontId="1" type="noConversion"/>
  </si>
  <si>
    <t>Regular</t>
    <phoneticPr fontId="1" type="noConversion"/>
  </si>
  <si>
    <t>Special</t>
    <phoneticPr fontId="1" type="noConversion"/>
  </si>
  <si>
    <t>담보유형(대)-담보</t>
    <phoneticPr fontId="1" type="noConversion"/>
  </si>
  <si>
    <t>담보유형(대)-무담보</t>
    <phoneticPr fontId="1" type="noConversion"/>
  </si>
  <si>
    <t>일반무담보</t>
    <phoneticPr fontId="1" type="noConversion"/>
  </si>
  <si>
    <t>CCRS&amp;IRL</t>
    <phoneticPr fontId="1" type="noConversion"/>
  </si>
  <si>
    <t>KPMG-SB 2026-2 Program</t>
    <phoneticPr fontId="1" type="noConversion"/>
  </si>
  <si>
    <t>PwC-SB 2026-1 Program</t>
    <phoneticPr fontId="1" type="noConversion"/>
  </si>
  <si>
    <t>OO저축은행</t>
    <phoneticPr fontId="1" type="noConversion"/>
  </si>
  <si>
    <t>거래현황
(Pool 목록)</t>
    <phoneticPr fontId="1" type="noConversion"/>
  </si>
  <si>
    <t>Bid Package</t>
  </si>
  <si>
    <t>Invitation Letter</t>
  </si>
  <si>
    <t>거래종결일</t>
  </si>
  <si>
    <t>거래종결일</t>
    <phoneticPr fontId="1" type="noConversion"/>
  </si>
  <si>
    <t>입찰기일</t>
  </si>
  <si>
    <t>입찰기일</t>
    <phoneticPr fontId="1" type="noConversion"/>
  </si>
  <si>
    <t>자산확정일</t>
    <phoneticPr fontId="1" type="noConversion"/>
  </si>
  <si>
    <t>파일 다운로드</t>
    <phoneticPr fontId="1" type="noConversion"/>
  </si>
  <si>
    <t>[ OO F&amp;I v]</t>
    <phoneticPr fontId="1" type="noConversion"/>
  </si>
  <si>
    <t>진행 중</t>
    <phoneticPr fontId="1" type="noConversion"/>
  </si>
  <si>
    <t>PwC-SB 2025-4 Program</t>
    <phoneticPr fontId="1" type="noConversion"/>
  </si>
  <si>
    <t>드롭다운 목록에서 선택 또는 검색(복수선택)</t>
  </si>
  <si>
    <t>드롭다운 목록에서 선택 또는 검색(복수선택)</t>
    <phoneticPr fontId="1" type="noConversion"/>
  </si>
  <si>
    <t>제한적 경쟁입찰, 수의계약 등 (드롭다운 선택)</t>
    <phoneticPr fontId="1" type="noConversion"/>
  </si>
  <si>
    <t>기타 자료</t>
    <phoneticPr fontId="1" type="noConversion"/>
  </si>
  <si>
    <t>PwC-SB 2026-2 Program_Data Disk.xlsx</t>
    <phoneticPr fontId="1" type="noConversion"/>
  </si>
  <si>
    <t>PwC-SB 2026-2 Program_Cut-off 후 거래내역.xlsx</t>
    <phoneticPr fontId="1" type="noConversion"/>
  </si>
  <si>
    <t>PwC-SB 2026-2 Program_입찰참가권유서(Invitation Letter).pdf</t>
    <phoneticPr fontId="1" type="noConversion"/>
  </si>
  <si>
    <t>[별첨]PwC-SB 2026-2 Program_입찰참가권유서(Invitation Letter).docx</t>
    <phoneticPr fontId="1" type="noConversion"/>
  </si>
  <si>
    <t>PwC-SB 2026-2 Program_Bid Package.zip</t>
    <phoneticPr fontId="1" type="noConversion"/>
  </si>
  <si>
    <t>File Index</t>
  </si>
  <si>
    <t xml:space="preserve">#                </t>
  </si>
  <si>
    <t>Worksheet</t>
  </si>
  <si>
    <t>Subject</t>
  </si>
  <si>
    <t>Link</t>
  </si>
  <si>
    <t>Page</t>
  </si>
  <si>
    <t>Sheet</t>
  </si>
  <si>
    <t>View</t>
  </si>
  <si>
    <t>▶개요</t>
    <phoneticPr fontId="1" type="noConversion"/>
  </si>
  <si>
    <t>▶상세페이지</t>
    <phoneticPr fontId="1" type="noConversion"/>
  </si>
  <si>
    <t>▶Backup</t>
    <phoneticPr fontId="1" type="noConversion"/>
  </si>
  <si>
    <t>홈</t>
    <phoneticPr fontId="1" type="noConversion"/>
  </si>
  <si>
    <t>서비스 소개</t>
    <phoneticPr fontId="1" type="noConversion"/>
  </si>
  <si>
    <t>매각 자문</t>
    <phoneticPr fontId="1" type="noConversion"/>
  </si>
  <si>
    <t>인수 자문</t>
    <phoneticPr fontId="1" type="noConversion"/>
  </si>
  <si>
    <t>거래현황</t>
    <phoneticPr fontId="1" type="noConversion"/>
  </si>
  <si>
    <t>이용가이드</t>
    <phoneticPr fontId="1" type="noConversion"/>
  </si>
  <si>
    <t>용어사전</t>
    <phoneticPr fontId="1" type="noConversion"/>
  </si>
  <si>
    <t>회원 관리</t>
    <phoneticPr fontId="1" type="noConversion"/>
  </si>
  <si>
    <t>인수 상담 신청</t>
    <phoneticPr fontId="1" type="noConversion"/>
  </si>
  <si>
    <t>매각 상담 신청</t>
    <phoneticPr fontId="1" type="noConversion"/>
  </si>
  <si>
    <t>매도인</t>
    <phoneticPr fontId="1" type="noConversion"/>
  </si>
  <si>
    <t>가칭 : 삼일PwC 온라인 NPL 플랫폼</t>
    <phoneticPr fontId="1" type="noConversion"/>
  </si>
  <si>
    <t>"매각 자문" Page 내 "매각 상담 신청" Button 삽입</t>
    <phoneticPr fontId="1" type="noConversion"/>
  </si>
  <si>
    <t>"인수 자문" Page 내 "인수 상담 신청" Button 삽입</t>
    <phoneticPr fontId="1" type="noConversion"/>
  </si>
  <si>
    <t>NPL 매각 자문 업무 소개(무담보 / 담보 / PF 등) + 매도의향자 정보 수집</t>
    <phoneticPr fontId="1" type="noConversion"/>
  </si>
  <si>
    <t>NPL 인수 자문 업무 소개(무담보 / 담보 / PF 등) + 매수의향자 정보 수집</t>
    <phoneticPr fontId="1" type="noConversion"/>
  </si>
  <si>
    <t>사이트 메뉴별 이용방법</t>
  </si>
  <si>
    <t>Glossary(IL, Cutoff, Interim, Datadisk 등 무경험자 입장 용어 정리)</t>
    <phoneticPr fontId="1" type="noConversion"/>
  </si>
  <si>
    <t>Pool 상세정보</t>
    <phoneticPr fontId="1" type="noConversion"/>
  </si>
  <si>
    <t>거래자료 등록</t>
    <phoneticPr fontId="1" type="noConversion"/>
  </si>
  <si>
    <t>매수인</t>
    <phoneticPr fontId="1" type="noConversion"/>
  </si>
  <si>
    <t>[Rawdata]
Datadisk 초안, 인터림 회수내역 등</t>
    <phoneticPr fontId="1" type="noConversion"/>
  </si>
  <si>
    <t>Page 내용</t>
    <phoneticPr fontId="1" type="noConversion"/>
  </si>
  <si>
    <t>구성 형태</t>
    <phoneticPr fontId="1" type="noConversion"/>
  </si>
  <si>
    <t>게시판</t>
    <phoneticPr fontId="1" type="noConversion"/>
  </si>
  <si>
    <t>선택 필요 [일반적인 공지사항 or 진행 중인 거래 관련 공지사항]</t>
    <phoneticPr fontId="1" type="noConversion"/>
  </si>
  <si>
    <t>B1</t>
    <phoneticPr fontId="1" type="noConversion"/>
  </si>
  <si>
    <t>B2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</si>
  <si>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</si>
  <si>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</si>
  <si>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</si>
  <si>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</si>
  <si>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</si>
  <si>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</si>
  <si>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X</t>
    <phoneticPr fontId="1" type="noConversion"/>
  </si>
  <si>
    <t>Y</t>
    <phoneticPr fontId="1" type="noConversion"/>
  </si>
  <si>
    <t>상담 관리</t>
    <phoneticPr fontId="1" type="noConversion"/>
  </si>
  <si>
    <t>Z</t>
    <phoneticPr fontId="1" type="noConversion"/>
  </si>
  <si>
    <t>로그인 | 회원가입</t>
    <phoneticPr fontId="1" type="noConversion"/>
  </si>
  <si>
    <t>관리자페이지</t>
    <phoneticPr fontId="1" type="noConversion"/>
  </si>
  <si>
    <t>Z1</t>
    <phoneticPr fontId="1" type="noConversion"/>
  </si>
  <si>
    <t>Z2</t>
    <phoneticPr fontId="1" type="noConversion"/>
  </si>
  <si>
    <t>매도인 / 매수인 정보 관리 및 인증 ID 설정</t>
    <phoneticPr fontId="1" type="noConversion"/>
  </si>
  <si>
    <t>① Pool 목록 우측 "Pool 상세정보" Link 삽입
② 각 Page 수정 권한은 회계법인만 부여</t>
    <phoneticPr fontId="1" type="noConversion"/>
  </si>
  <si>
    <t>Pool별 정보 열거 → 종결된 Pool 한정 상세정보 열람 가능</t>
    <phoneticPr fontId="1" type="noConversion"/>
  </si>
  <si>
    <t>(1) Depth</t>
    <phoneticPr fontId="1" type="noConversion"/>
  </si>
  <si>
    <t>(2) Depth</t>
    <phoneticPr fontId="1" type="noConversion"/>
  </si>
  <si>
    <t>(3) Depth</t>
    <phoneticPr fontId="1" type="noConversion"/>
  </si>
  <si>
    <t>대표자</t>
  </si>
  <si>
    <t>담당부서 대표전화</t>
  </si>
  <si>
    <t>담당부서명</t>
  </si>
  <si>
    <t>우편번호</t>
  </si>
  <si>
    <t>사용자 정보</t>
  </si>
  <si>
    <t>성명</t>
  </si>
  <si>
    <t>오민규</t>
  </si>
  <si>
    <t>소속부점</t>
  </si>
  <si>
    <t>직책</t>
  </si>
  <si>
    <t>회사전화</t>
  </si>
  <si>
    <t>휴대전화</t>
  </si>
  <si>
    <t>이메일</t>
  </si>
  <si>
    <t>접속IP</t>
  </si>
  <si>
    <t>주소</t>
    <phoneticPr fontId="1" type="noConversion"/>
  </si>
  <si>
    <t>01097190514</t>
    <phoneticPr fontId="1" type="noConversion"/>
  </si>
  <si>
    <t>0237819633</t>
    <phoneticPr fontId="1" type="noConversion"/>
  </si>
  <si>
    <t>0237813131</t>
    <phoneticPr fontId="1" type="noConversion"/>
  </si>
  <si>
    <t>가입회사 정보</t>
    <phoneticPr fontId="1" type="noConversion"/>
  </si>
  <si>
    <t>이사</t>
    <phoneticPr fontId="1" type="noConversion"/>
  </si>
  <si>
    <t>mingyu.oh@pwc.com</t>
    <phoneticPr fontId="1" type="noConversion"/>
  </si>
  <si>
    <t>여신관리부</t>
  </si>
  <si>
    <t>여신관리부</t>
    <phoneticPr fontId="1" type="noConversion"/>
  </si>
  <si>
    <t>회사명</t>
    <phoneticPr fontId="1" type="noConversion"/>
  </si>
  <si>
    <t>인증여부</t>
    <phoneticPr fontId="1" type="noConversion"/>
  </si>
  <si>
    <t>홈페이지 가입자 명단 나열 + 회사별 인증 ID 설정 기능 필요</t>
    <phoneticPr fontId="1" type="noConversion"/>
  </si>
  <si>
    <t>매도인</t>
  </si>
  <si>
    <t>매수인</t>
  </si>
  <si>
    <t>목적 및 기대효과</t>
    <phoneticPr fontId="1" type="noConversion"/>
  </si>
  <si>
    <t>게시판 + 수정시 사유 입력 의무</t>
    <phoneticPr fontId="1" type="noConversion"/>
  </si>
  <si>
    <t>210.111.88.66</t>
  </si>
  <si>
    <t>210.111.88.66</t>
    <phoneticPr fontId="1" type="noConversion"/>
  </si>
  <si>
    <t>회원 유형</t>
  </si>
  <si>
    <t>회원 유형</t>
    <phoneticPr fontId="1" type="noConversion"/>
  </si>
  <si>
    <t>이름</t>
  </si>
  <si>
    <t>회사명</t>
  </si>
  <si>
    <t>비밀번호</t>
  </si>
  <si>
    <t>(최소 6자)</t>
  </si>
  <si>
    <t>비밀번호 확인</t>
  </si>
  <si>
    <t>내용</t>
    <phoneticPr fontId="1" type="noConversion"/>
  </si>
  <si>
    <t>매도자 / 매수자 / 자문사</t>
    <phoneticPr fontId="1" type="noConversion"/>
  </si>
  <si>
    <t>필수 입력사항</t>
    <phoneticPr fontId="1" type="noConversion"/>
  </si>
  <si>
    <t>선택 입력사항</t>
    <phoneticPr fontId="1" type="noConversion"/>
  </si>
  <si>
    <t>관심 분야</t>
    <phoneticPr fontId="1" type="noConversion"/>
  </si>
  <si>
    <t>약관 동의</t>
    <phoneticPr fontId="1" type="noConversion"/>
  </si>
  <si>
    <t>□ 약관 1</t>
    <phoneticPr fontId="1" type="noConversion"/>
  </si>
  <si>
    <t>□ 약관 2</t>
    <phoneticPr fontId="1" type="noConversion"/>
  </si>
  <si>
    <t>□ 약관 3</t>
    <phoneticPr fontId="1" type="noConversion"/>
  </si>
  <si>
    <t>담당부서명</t>
    <phoneticPr fontId="1" type="noConversion"/>
  </si>
  <si>
    <t>직책</t>
    <phoneticPr fontId="1" type="noConversion"/>
  </si>
  <si>
    <t>아이디(이메일 형태)</t>
    <phoneticPr fontId="1" type="noConversion"/>
  </si>
  <si>
    <t>[Dummy]</t>
    <phoneticPr fontId="1" type="noConversion"/>
  </si>
  <si>
    <t>[평가 자료, 배포용 자료]
① MRP 산정 자료
② IL, Bid Package 등 거래 진행시 활용자료 등</t>
    <phoneticPr fontId="1" type="noConversion"/>
  </si>
  <si>
    <t>회원가입</t>
  </si>
  <si>
    <t>마이페이지</t>
  </si>
  <si>
    <t>매각 상담(B1(2)) / 인수 상담(B2(2)) 신청 내역 나열 + 답글 작성 기능</t>
    <phoneticPr fontId="1" type="noConversion"/>
  </si>
  <si>
    <t>매각 / 인수 상담 관리</t>
    <phoneticPr fontId="1" type="noConversion"/>
  </si>
  <si>
    <t>소속 회사 및 사용자 정보 화면</t>
    <phoneticPr fontId="1" type="noConversion"/>
  </si>
  <si>
    <t>Memo</t>
    <phoneticPr fontId="1" type="noConversion"/>
  </si>
  <si>
    <t>🗒️</t>
    <phoneticPr fontId="1" type="noConversion"/>
  </si>
  <si>
    <t>등록회사명</t>
    <phoneticPr fontId="1" type="noConversion"/>
  </si>
  <si>
    <t>OO대부</t>
    <phoneticPr fontId="1" type="noConversion"/>
  </si>
  <si>
    <t>삼일회계법인</t>
    <phoneticPr fontId="1" type="noConversion"/>
  </si>
  <si>
    <t>입찰서류.zip</t>
    <phoneticPr fontId="1" type="noConversion"/>
  </si>
  <si>
    <t>LOI.zip</t>
    <phoneticPr fontId="1" type="noConversion"/>
  </si>
  <si>
    <t>PwC NPL 센터 소개 + 서비스 소개(요약)</t>
    <phoneticPr fontId="1" type="noConversion"/>
  </si>
  <si>
    <t>첨부파일</t>
    <phoneticPr fontId="1" type="noConversion"/>
  </si>
  <si>
    <t>등록일자</t>
    <phoneticPr fontId="1" type="noConversion"/>
  </si>
  <si>
    <t>제목</t>
  </si>
  <si>
    <t>제목</t>
    <phoneticPr fontId="1" type="noConversion"/>
  </si>
  <si>
    <t>작성 가이드</t>
    <phoneticPr fontId="1" type="noConversion"/>
  </si>
  <si>
    <t>PwC-SB 2026-1 Program</t>
  </si>
  <si>
    <t>전체</t>
    <phoneticPr fontId="1" type="noConversion"/>
  </si>
  <si>
    <t>시스템 중단 안내의 건</t>
    <phoneticPr fontId="1" type="noConversion"/>
  </si>
  <si>
    <t>입찰기일 변경 안내</t>
    <phoneticPr fontId="1" type="noConversion"/>
  </si>
  <si>
    <t>[공지사항 내용 구성 예시]</t>
    <phoneticPr fontId="1" type="noConversion"/>
  </si>
  <si>
    <t>상단메뉴</t>
    <phoneticPr fontId="1" type="noConversion"/>
  </si>
  <si>
    <t>정보구조도</t>
    <phoneticPr fontId="1" type="noConversion"/>
  </si>
  <si>
    <t>C1 공지사항</t>
    <phoneticPr fontId="1" type="noConversion"/>
  </si>
  <si>
    <t>C2-(1) Pool 목록</t>
    <phoneticPr fontId="1" type="noConversion"/>
  </si>
  <si>
    <t>C2-(2) Pool 상세정보</t>
    <phoneticPr fontId="1" type="noConversion"/>
  </si>
  <si>
    <t>C3-(2) 거래자료 등록-매도인</t>
    <phoneticPr fontId="1" type="noConversion"/>
  </si>
  <si>
    <t>C3-(2) 거래자료 등록-매수인</t>
    <phoneticPr fontId="1" type="noConversion"/>
  </si>
  <si>
    <t>C3-(2) 매각자료 등록-회계법인</t>
    <phoneticPr fontId="1" type="noConversion"/>
  </si>
  <si>
    <t>X 회원가입</t>
    <phoneticPr fontId="1" type="noConversion"/>
  </si>
  <si>
    <t>Y 마이페이지</t>
    <phoneticPr fontId="1" type="noConversion"/>
  </si>
  <si>
    <t>PwC NPL Platform</t>
    <phoneticPr fontId="1" type="noConversion"/>
  </si>
  <si>
    <t>아이디</t>
    <phoneticPr fontId="1" type="noConversion"/>
  </si>
  <si>
    <t>가입일</t>
    <phoneticPr fontId="1" type="noConversion"/>
  </si>
  <si>
    <t>관리</t>
  </si>
  <si>
    <t>A 캐피탈</t>
  </si>
  <si>
    <t>김매도</t>
  </si>
  <si>
    <t>B 투자증권</t>
  </si>
  <si>
    <t>이매수</t>
  </si>
  <si>
    <t>C 회계법인</t>
  </si>
  <si>
    <t>박회계</t>
  </si>
  <si>
    <t>회계법인</t>
  </si>
  <si>
    <t>D 자산운용</t>
  </si>
  <si>
    <t>최매수</t>
  </si>
  <si>
    <t>정매수</t>
  </si>
  <si>
    <t>B F&amp;I</t>
    <phoneticPr fontId="1" type="noConversion"/>
  </si>
  <si>
    <t>A 저축은행</t>
    <phoneticPr fontId="1" type="noConversion"/>
  </si>
  <si>
    <t>B 캐피탈</t>
    <phoneticPr fontId="1" type="noConversion"/>
  </si>
  <si>
    <t>buyer_lee@pwc.com</t>
  </si>
  <si>
    <t>accountant_park@pwc.com</t>
  </si>
  <si>
    <t>buyer_choi@pwc.com</t>
  </si>
  <si>
    <t>buyer_jung@pwc.com</t>
  </si>
  <si>
    <t>이름</t>
    <phoneticPr fontId="1" type="noConversion"/>
  </si>
  <si>
    <t>회사전화</t>
    <phoneticPr fontId="1" type="noConversion"/>
  </si>
  <si>
    <t>휴대전화</t>
    <phoneticPr fontId="1" type="noConversion"/>
  </si>
  <si>
    <t>seller_kim@pwc.com</t>
    <phoneticPr fontId="1" type="noConversion"/>
  </si>
  <si>
    <t>과장</t>
    <phoneticPr fontId="1" type="noConversion"/>
  </si>
  <si>
    <t>부장</t>
    <phoneticPr fontId="1" type="noConversion"/>
  </si>
  <si>
    <t>차장</t>
    <phoneticPr fontId="1" type="noConversion"/>
  </si>
  <si>
    <t>팀장</t>
    <phoneticPr fontId="1" type="noConversion"/>
  </si>
  <si>
    <t>02-3781-3131</t>
    <phoneticPr fontId="1" type="noConversion"/>
  </si>
  <si>
    <t>010-3131-3131</t>
    <phoneticPr fontId="1" type="noConversion"/>
  </si>
  <si>
    <t>인증 상태</t>
    <phoneticPr fontId="1" type="noConversion"/>
  </si>
  <si>
    <t>접속IP</t>
    <phoneticPr fontId="1" type="noConversion"/>
  </si>
  <si>
    <t>N</t>
    <phoneticPr fontId="1" type="noConversion"/>
  </si>
  <si>
    <t>관리</t>
    <phoneticPr fontId="1" type="noConversion"/>
  </si>
  <si>
    <r>
      <t>[</t>
    </r>
    <r>
      <rPr>
        <sz val="10"/>
        <color theme="1"/>
        <rFont val="맑은 고딕"/>
        <family val="3"/>
        <charset val="129"/>
      </rPr>
      <t>수정</t>
    </r>
    <r>
      <rPr>
        <sz val="10"/>
        <color theme="1"/>
        <rFont val="Segoe UI Emoji"/>
        <family val="2"/>
      </rPr>
      <t>] / [</t>
    </r>
    <r>
      <rPr>
        <sz val="10"/>
        <color theme="1"/>
        <rFont val="맑은 고딕"/>
        <family val="3"/>
        <charset val="129"/>
      </rPr>
      <t>삭제</t>
    </r>
    <r>
      <rPr>
        <sz val="10"/>
        <color theme="1"/>
        <rFont val="Segoe UI Emoji"/>
        <family val="2"/>
      </rPr>
      <t>]</t>
    </r>
    <phoneticPr fontId="1" type="noConversion"/>
  </si>
  <si>
    <t>신청일</t>
  </si>
  <si>
    <t>처리 상태</t>
  </si>
  <si>
    <t>매각 상담</t>
  </si>
  <si>
    <t>NPL 포트폴리오 매각 관련 문의</t>
  </si>
  <si>
    <t>답변 대기</t>
  </si>
  <si>
    <t>[답글 작성]</t>
  </si>
  <si>
    <t>인수 상담</t>
  </si>
  <si>
    <t>OO 부동산 담보 NPL 인수 희망</t>
  </si>
  <si>
    <t>답변 완료</t>
  </si>
  <si>
    <t>[답변 보기]</t>
  </si>
  <si>
    <t>E 저축은행</t>
  </si>
  <si>
    <t>박매도</t>
  </si>
  <si>
    <t>개인회생채권 매각 절차 문의</t>
  </si>
  <si>
    <t>상담 유형</t>
    <phoneticPr fontId="1" type="noConversion"/>
  </si>
  <si>
    <t>100억 규모 PF 채권 인수 문의</t>
    <phoneticPr fontId="1" type="noConversion"/>
  </si>
  <si>
    <t>정보구조도!A1</t>
    <phoneticPr fontId="1" type="noConversion"/>
  </si>
  <si>
    <t>Z1-(1) 회원 관리</t>
    <phoneticPr fontId="1" type="noConversion"/>
  </si>
  <si>
    <t>Z2-(1) 상담 관리</t>
    <phoneticPr fontId="1" type="noConversion"/>
  </si>
  <si>
    <t>용어</t>
  </si>
  <si>
    <t>설명</t>
  </si>
  <si>
    <t>매각대상자산</t>
  </si>
  <si>
    <t>적격 투자자</t>
  </si>
  <si>
    <t>매각 주관사가 정한 일정 기준(자산 규모, 투자 경험 등)을 충족하여 입찰에 참여할 자격이 있다고 인정한 투자자입니다.</t>
  </si>
  <si>
    <t>Data Disk</t>
  </si>
  <si>
    <t>채권(자산)을 사고파는 계약을 체결할 때 작성하는 공식적인 계약서입니다.</t>
  </si>
  <si>
    <t>거래 과정에서 알게 된 비밀 정보를 외부에 유출하지 않겠다고 약속하는 서류입니다.</t>
  </si>
  <si>
    <t>자산의 가치를 평가하는 기준이 되는 날짜입니다. 이 날짜를 기준으로 채권의 잔액, 연체 상태 등을 확정합니다.</t>
  </si>
  <si>
    <t>Invitation Letter (IL)</t>
  </si>
  <si>
    <t>'입찰참가권유서'로, 매각 주관사가 잠재적 투자자들에게 입찰 참여를 공식적으로 권유하며 보내는 문서입니다.</t>
  </si>
  <si>
    <t>NPL(Non-Performing Loan)</t>
    <phoneticPr fontId="1" type="noConversion"/>
  </si>
  <si>
    <t>Interim</t>
    <phoneticPr fontId="1" type="noConversion"/>
  </si>
  <si>
    <t>매각 절차를 통해 판매될 NPL 등의 자산을 의미합니다.</t>
    <phoneticPr fontId="1" type="noConversion"/>
  </si>
  <si>
    <t>입찰참가의향서(Letter of Intent (LOI))</t>
    <phoneticPr fontId="1" type="noConversion"/>
  </si>
  <si>
    <t>자산양수도계약서
(Loan Sale &amp; Purchase Agreement (LSPA))</t>
    <phoneticPr fontId="1" type="noConversion"/>
  </si>
  <si>
    <t>비밀유지서약서
(Non-Disclosure Agreement (NDA))</t>
    <phoneticPr fontId="1" type="noConversion"/>
  </si>
  <si>
    <t>Cut-off Date 이후부터 거래종결일까지의 '임시자산관리기간' 동안 발생한 순회수금(Interim Collection) 등을 의미합니다.</t>
    <phoneticPr fontId="1" type="noConversion"/>
  </si>
  <si>
    <t>입찰에 참여하는 데 필요한 모든 서류 묶음을 의미합니다. 보통 입찰안내서, Datadisk, LSPA, Interim, 입찰가격배분표 등을 포함합니다.</t>
    <phoneticPr fontId="1" type="noConversion"/>
  </si>
  <si>
    <t>금융기관의 대출금 중 3개월 이상 연체된 고정이하여신 등을 의미하며, 부실채권으로 통칭합니다.</t>
    <phoneticPr fontId="1" type="noConversion"/>
  </si>
  <si>
    <t>투자자가 입찰에 참여할 의사가 있음을 공식적으로 밝히는 서류입니다.</t>
    <phoneticPr fontId="1" type="noConversion"/>
  </si>
  <si>
    <t>매각대상자산에 대한 상세 정보(차주 정보, 채권 정보 등)가 담겨 있는 Excel 자료를 의미합니다.</t>
    <phoneticPr fontId="1" type="noConversion"/>
  </si>
  <si>
    <t>자산확정일(Cut-off Date)</t>
    <phoneticPr fontId="1" type="noConversion"/>
  </si>
  <si>
    <t>→</t>
    <phoneticPr fontId="1" type="noConversion"/>
  </si>
  <si>
    <t>기존 입찰기일의 국가 공휴일 지정에 따라 입찰기일이 2/27(금)으로 연기되었습니다. 입찰서류 제출시 주의하여 주시기 바랍니다.</t>
    <phoneticPr fontId="1" type="noConversion"/>
  </si>
  <si>
    <t>수정 일정표.xlsx</t>
    <phoneticPr fontId="1" type="noConversion"/>
  </si>
  <si>
    <t>D2-(1) 용어 사전</t>
    <phoneticPr fontId="1" type="noConversion"/>
  </si>
  <si>
    <t>△</t>
  </si>
  <si>
    <t>△</t>
    <phoneticPr fontId="1" type="noConversion"/>
  </si>
  <si>
    <t>Read Only</t>
    <phoneticPr fontId="1" type="noConversion"/>
  </si>
  <si>
    <t>Read &amp; Write</t>
    <phoneticPr fontId="1" type="noConversion"/>
  </si>
  <si>
    <t>→ 상세정보는 참여이력 존재 업체만 제공</t>
    <phoneticPr fontId="1" type="noConversion"/>
  </si>
  <si>
    <t>미공개(*2)</t>
    <phoneticPr fontId="1" type="noConversion"/>
  </si>
  <si>
    <t>(*2) 참여이력 존재하는 업체에게만 공개(인센티브 성격)</t>
    <phoneticPr fontId="1" type="noConversion"/>
  </si>
  <si>
    <t>(*3) 종결된 거래만 열람 가능(→ C2-(2) Pool 상세정보)</t>
    <phoneticPr fontId="1" type="noConversion"/>
  </si>
  <si>
    <t>(*1) 진행 중인 거래를 최상단에 위치시킴. 정렬 순서(진행 → 종결 → 중단(유찰 포함))</t>
    <phoneticPr fontId="1" type="noConversion"/>
  </si>
  <si>
    <t>새도약기금 가입 대부회사 안내</t>
    <phoneticPr fontId="1" type="noConversion"/>
  </si>
  <si>
    <t xml:space="preserve">→NPL성 실물자산도 접수 가능하도록 </t>
    <phoneticPr fontId="1" type="noConversion"/>
  </si>
  <si>
    <t>O</t>
  </si>
  <si>
    <t>→ IP주소 기반 접속PC 제한 필요(ex. 승인된 ID &amp; IP 이용한 제출시 등)</t>
    <phoneticPr fontId="1" type="noConversion"/>
  </si>
  <si>
    <t>[추후 업데이트 필요]
입찰등록, 입찰서류 등 전산 제출 가능한 형태 고려</t>
    <phoneticPr fontId="1" type="noConversion"/>
  </si>
  <si>
    <t>차주 구분</t>
    <phoneticPr fontId="1" type="noConversion"/>
  </si>
  <si>
    <t>개인 / 개인사업자 / 법인 등(복수선택)</t>
    <phoneticPr fontId="1" type="noConversion"/>
  </si>
  <si>
    <t>[ 개인 / 개인사업자 v]</t>
    <phoneticPr fontId="1" type="noConversion"/>
  </si>
  <si>
    <t>[ __________________ ]</t>
    <phoneticPr fontId="1" type="noConversion"/>
  </si>
  <si>
    <t>[ Y v]</t>
    <phoneticPr fontId="1" type="noConversion"/>
  </si>
  <si>
    <t>드롭다운 목록에서 선택(Y / N)</t>
    <phoneticPr fontId="1" type="noConversion"/>
  </si>
  <si>
    <t>재매각채권 포함 여부</t>
    <phoneticPr fontId="1" type="noConversion"/>
  </si>
  <si>
    <t>OPB (원)</t>
    <phoneticPr fontId="1" type="noConversion"/>
  </si>
  <si>
    <t>재매각 정보</t>
  </si>
  <si>
    <t>재매각 정보</t>
    <phoneticPr fontId="1" type="noConversion"/>
  </si>
  <si>
    <t>재매각 채권 정보만 기재</t>
  </si>
  <si>
    <t>재매각 채권 정보만 기재</t>
    <phoneticPr fontId="1" type="noConversion"/>
  </si>
  <si>
    <t>[ ____________________ ]</t>
    <phoneticPr fontId="1" type="noConversion"/>
  </si>
  <si>
    <t>[ N v]</t>
    <phoneticPr fontId="1" type="noConversion"/>
  </si>
  <si>
    <t xml:space="preserve">1. 매도인 : </t>
    <phoneticPr fontId="1" type="noConversion"/>
  </si>
  <si>
    <t>2. 매수인 : Deal 발굴시간 절감, 온라인 입찰 가능</t>
    <phoneticPr fontId="1" type="noConversion"/>
  </si>
  <si>
    <t>입찰 서류(투자자제출본)</t>
    <phoneticPr fontId="1" type="noConversion"/>
  </si>
  <si>
    <r>
      <t>현황</t>
    </r>
    <r>
      <rPr>
        <b/>
        <sz val="10"/>
        <color rgb="FFC00000"/>
        <rFont val="맑은 고딕"/>
        <family val="3"/>
        <charset val="129"/>
        <scheme val="minor"/>
      </rPr>
      <t>(*1)</t>
    </r>
    <phoneticPr fontId="1" type="noConversion"/>
  </si>
  <si>
    <r>
      <t>상세보기</t>
    </r>
    <r>
      <rPr>
        <b/>
        <sz val="10"/>
        <color rgb="FFC00000"/>
        <rFont val="맑은 고딕"/>
        <family val="3"/>
        <charset val="129"/>
        <scheme val="minor"/>
      </rPr>
      <t>(*3)</t>
    </r>
    <phoneticPr fontId="1" type="noConversion"/>
  </si>
  <si>
    <t>Pool 내 채권들의 평균 연체 개월 수 (숫자 입력)
예: 최초 연체일~자산확정일 경과개월</t>
    <phoneticPr fontId="1" type="noConversion"/>
  </si>
  <si>
    <t>드롭다운 목록에서 선택(Y / N)
예: 적격 양수인(역량, 내부통제, 새도약기금 등)</t>
    <phoneticPr fontId="1" type="noConversion"/>
  </si>
  <si>
    <t>차주수(재매각분)</t>
    <phoneticPr fontId="1" type="noConversion"/>
  </si>
  <si>
    <t>채권수(재매각분)</t>
    <phoneticPr fontId="1" type="noConversion"/>
  </si>
  <si>
    <t>OPB (원)(재매각분)</t>
    <phoneticPr fontId="1" type="noConversion"/>
  </si>
  <si>
    <t>확인필요</t>
    <phoneticPr fontId="1" type="noConversion"/>
  </si>
  <si>
    <t>1. 개인정보 포함 자료 업로드</t>
    <phoneticPr fontId="1" type="noConversion"/>
  </si>
  <si>
    <t>2. csv 파일 import &amp; 서버에 저장하여 화면에 출력 or xlsx 파일 업로드(게시판 형태)</t>
    <phoneticPr fontId="1" type="noConversion"/>
  </si>
  <si>
    <t>① 거래 투명성 확보, 종류 무관 단일화된 NPL 매각창구 활용한 편의성</t>
    <phoneticPr fontId="1" type="noConversion"/>
  </si>
  <si>
    <t>② 매각 이력 관리 및 금감원 등 감독당국 보고 용이</t>
    <phoneticPr fontId="1" type="noConversion"/>
  </si>
  <si>
    <t>양수인 점검표 확인 여부</t>
    <phoneticPr fontId="1" type="noConversion"/>
  </si>
  <si>
    <t>3. 투자자 접속권한(IP 주소 고려 가능 여부)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</si>
</sst>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111827"/>
      <name val="맑은 고딕"/>
      <family val="3"/>
      <charset val="129"/>
      <scheme val="major"/>
    </font>
    <font>
      <b/>
      <sz val="10"/>
      <color rgb="FF37415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Segoe UI Symbol"/>
      <family val="3"/>
    </font>
    <font>
      <sz val="10"/>
      <color theme="1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theme="4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theme="4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1"/>
      <name val="Segoe UI Emoji"/>
      <family val="3"/>
    </font>
    <font>
      <sz val="10"/>
      <color rgb="FF111827"/>
      <name val="맑은 고딕"/>
      <family val="3"/>
      <charset val="129"/>
      <scheme val="major"/>
    </font>
    <font>
      <b/>
      <u/>
      <sz val="11"/>
      <color theme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Segoe UI Emoji"/>
      <family val="2"/>
    </font>
    <font>
      <u/>
      <sz val="11"/>
      <color theme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rgb="FFC00000"/>
      <name val="맑은 고딕"/>
      <family val="2"/>
      <scheme val="minor"/>
    </font>
    <font>
      <b/>
      <sz val="10"/>
      <color rgb="FFC0000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lightDown"/>
    </fill>
    <fill>
      <patternFill patternType="solid">
        <fgColor rgb="FFECECE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3" fillId="0" borderId="0" applyAlignment="0" applyProtection="0"/>
    <xf numFmtId="0" fontId="14" fillId="0" borderId="0"/>
    <xf numFmtId="0" fontId="15" fillId="0" borderId="0" applyFill="0" applyProtection="0">
      <alignment wrapText="1"/>
    </xf>
    <xf numFmtId="0" fontId="15" fillId="0" borderId="8" applyFill="0" applyProtection="0">
      <alignment horizontal="left" wrapText="1"/>
    </xf>
    <xf numFmtId="0" fontId="16" fillId="0" borderId="0" applyNumberFormat="0" applyFill="0" applyBorder="0" applyAlignment="0" applyProtection="0"/>
  </cellStyleXfs>
  <cellXfs count="14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4" fillId="0" borderId="0" xfId="0" applyFont="1"/>
    <xf numFmtId="0" fontId="4" fillId="3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Continuous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3" borderId="5" xfId="0" applyFont="1" applyFill="1" applyBorder="1" applyAlignment="1">
      <alignment horizontal="centerContinuous"/>
    </xf>
    <xf numFmtId="0" fontId="4" fillId="3" borderId="6" xfId="0" applyFont="1" applyFill="1" applyBorder="1"/>
    <xf numFmtId="0" fontId="2" fillId="2" borderId="4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10" fontId="2" fillId="2" borderId="7" xfId="0" applyNumberFormat="1" applyFont="1" applyFill="1" applyBorder="1" applyAlignment="1">
      <alignment horizontal="left" vertical="center" wrapText="1"/>
    </xf>
    <xf numFmtId="3" fontId="8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1" applyAlignment="1">
      <alignment horizontal="left" vertical="top"/>
    </xf>
    <xf numFmtId="0" fontId="14" fillId="0" borderId="0" xfId="2"/>
    <xf numFmtId="0" fontId="15" fillId="0" borderId="0" xfId="3">
      <alignment wrapText="1"/>
    </xf>
    <xf numFmtId="0" fontId="15" fillId="0" borderId="8" xfId="4">
      <alignment horizontal="left" wrapText="1"/>
    </xf>
    <xf numFmtId="49" fontId="14" fillId="0" borderId="9" xfId="2" applyNumberFormat="1" applyBorder="1" applyAlignment="1">
      <alignment horizontal="left" vertical="top"/>
    </xf>
    <xf numFmtId="0" fontId="14" fillId="0" borderId="9" xfId="2" applyBorder="1" applyAlignment="1">
      <alignment vertical="top"/>
    </xf>
    <xf numFmtId="37" fontId="14" fillId="0" borderId="9" xfId="2" applyNumberFormat="1" applyBorder="1" applyAlignment="1">
      <alignment horizontal="right" vertical="top"/>
    </xf>
    <xf numFmtId="0" fontId="16" fillId="0" borderId="9" xfId="5" applyBorder="1" applyAlignment="1">
      <alignment vertical="top"/>
    </xf>
    <xf numFmtId="0" fontId="4" fillId="0" borderId="10" xfId="0" applyFont="1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indent="1"/>
    </xf>
    <xf numFmtId="0" fontId="17" fillId="0" borderId="0" xfId="0" applyFont="1" applyAlignment="1">
      <alignment horizontal="left" indent="1"/>
    </xf>
    <xf numFmtId="0" fontId="0" fillId="0" borderId="1" xfId="0" quotePrefix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8" fillId="0" borderId="0" xfId="0" applyFont="1" applyAlignment="1">
      <alignment horizontal="right"/>
    </xf>
    <xf numFmtId="49" fontId="19" fillId="0" borderId="0" xfId="0" applyNumberFormat="1" applyFont="1"/>
    <xf numFmtId="49" fontId="20" fillId="0" borderId="0" xfId="0" applyNumberFormat="1" applyFont="1"/>
    <xf numFmtId="0" fontId="21" fillId="2" borderId="1" xfId="0" applyFont="1" applyFill="1" applyBorder="1" applyAlignment="1">
      <alignment horizontal="left" vertical="center" wrapText="1"/>
    </xf>
    <xf numFmtId="0" fontId="21" fillId="2" borderId="7" xfId="0" applyFont="1" applyFill="1" applyBorder="1" applyAlignment="1">
      <alignment horizontal="left" vertical="center" wrapText="1"/>
    </xf>
    <xf numFmtId="0" fontId="21" fillId="2" borderId="4" xfId="0" applyFont="1" applyFill="1" applyBorder="1" applyAlignment="1">
      <alignment horizontal="left" vertical="center" wrapText="1"/>
    </xf>
    <xf numFmtId="0" fontId="22" fillId="2" borderId="7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3" borderId="1" xfId="0" applyFont="1" applyFill="1" applyBorder="1"/>
    <xf numFmtId="0" fontId="9" fillId="0" borderId="1" xfId="0" applyFont="1" applyBorder="1"/>
    <xf numFmtId="0" fontId="9" fillId="0" borderId="7" xfId="0" applyFont="1" applyBorder="1"/>
    <xf numFmtId="0" fontId="9" fillId="0" borderId="4" xfId="0" applyFont="1" applyBorder="1"/>
    <xf numFmtId="0" fontId="9" fillId="0" borderId="7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3" fontId="23" fillId="0" borderId="1" xfId="0" applyNumberFormat="1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6" fillId="10" borderId="1" xfId="5" applyFill="1" applyBorder="1" applyAlignment="1">
      <alignment vertical="center" wrapText="1"/>
    </xf>
    <xf numFmtId="0" fontId="4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 wrapText="1"/>
    </xf>
    <xf numFmtId="0" fontId="4" fillId="8" borderId="3" xfId="0" applyFont="1" applyFill="1" applyBorder="1" applyAlignment="1">
      <alignment horizontal="center" vertical="center"/>
    </xf>
    <xf numFmtId="0" fontId="0" fillId="8" borderId="3" xfId="0" applyFill="1" applyBorder="1" applyAlignment="1">
      <alignment vertical="center" wrapText="1"/>
    </xf>
    <xf numFmtId="0" fontId="4" fillId="8" borderId="4" xfId="0" applyFont="1" applyFill="1" applyBorder="1" applyAlignment="1">
      <alignment horizontal="center" vertical="center"/>
    </xf>
    <xf numFmtId="0" fontId="0" fillId="8" borderId="4" xfId="0" applyFill="1" applyBorder="1" applyAlignment="1">
      <alignment vertical="center" wrapText="1"/>
    </xf>
    <xf numFmtId="0" fontId="16" fillId="10" borderId="1" xfId="5" applyFill="1" applyBorder="1" applyAlignment="1">
      <alignment vertical="center"/>
    </xf>
    <xf numFmtId="0" fontId="16" fillId="8" borderId="1" xfId="5" applyFill="1" applyBorder="1" applyAlignment="1">
      <alignment vertical="center"/>
    </xf>
    <xf numFmtId="0" fontId="16" fillId="9" borderId="1" xfId="5" applyFill="1" applyBorder="1" applyAlignment="1">
      <alignment vertical="center" wrapText="1"/>
    </xf>
    <xf numFmtId="0" fontId="6" fillId="3" borderId="1" xfId="0" applyFont="1" applyFill="1" applyBorder="1" applyAlignment="1">
      <alignment horizontal="center"/>
    </xf>
    <xf numFmtId="0" fontId="7" fillId="0" borderId="0" xfId="0" applyFont="1"/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7" fillId="0" borderId="1" xfId="0" applyFont="1" applyBorder="1"/>
    <xf numFmtId="3" fontId="7" fillId="0" borderId="1" xfId="0" applyNumberFormat="1" applyFont="1" applyBorder="1"/>
    <xf numFmtId="3" fontId="7" fillId="0" borderId="1" xfId="0" applyNumberFormat="1" applyFont="1" applyBorder="1" applyAlignment="1">
      <alignment horizontal="right"/>
    </xf>
    <xf numFmtId="0" fontId="7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9" fillId="0" borderId="0" xfId="0" applyFont="1"/>
    <xf numFmtId="14" fontId="9" fillId="0" borderId="1" xfId="0" applyNumberFormat="1" applyFont="1" applyBorder="1"/>
    <xf numFmtId="0" fontId="24" fillId="2" borderId="1" xfId="0" applyFont="1" applyFill="1" applyBorder="1" applyAlignment="1">
      <alignment horizontal="left" vertical="center" wrapText="1"/>
    </xf>
    <xf numFmtId="14" fontId="24" fillId="2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/>
    </xf>
    <xf numFmtId="0" fontId="6" fillId="0" borderId="0" xfId="0" applyFont="1"/>
    <xf numFmtId="0" fontId="16" fillId="0" borderId="0" xfId="5"/>
    <xf numFmtId="0" fontId="16" fillId="11" borderId="1" xfId="5" applyFill="1" applyBorder="1" applyAlignment="1">
      <alignment vertical="center"/>
    </xf>
    <xf numFmtId="49" fontId="21" fillId="0" borderId="0" xfId="0" applyNumberFormat="1" applyFont="1"/>
    <xf numFmtId="49" fontId="22" fillId="0" borderId="0" xfId="0" applyNumberFormat="1" applyFont="1"/>
    <xf numFmtId="49" fontId="22" fillId="7" borderId="1" xfId="0" applyNumberFormat="1" applyFont="1" applyFill="1" applyBorder="1" applyAlignment="1">
      <alignment horizontal="left"/>
    </xf>
    <xf numFmtId="49" fontId="21" fillId="0" borderId="1" xfId="0" applyNumberFormat="1" applyFont="1" applyBorder="1"/>
    <xf numFmtId="49" fontId="22" fillId="2" borderId="1" xfId="0" applyNumberFormat="1" applyFont="1" applyFill="1" applyBorder="1" applyAlignment="1">
      <alignment horizontal="left" vertical="center"/>
    </xf>
    <xf numFmtId="49" fontId="21" fillId="2" borderId="1" xfId="0" applyNumberFormat="1" applyFont="1" applyFill="1" applyBorder="1" applyAlignment="1">
      <alignment horizontal="left" vertical="center"/>
    </xf>
    <xf numFmtId="49" fontId="22" fillId="0" borderId="0" xfId="0" applyNumberFormat="1" applyFont="1" applyAlignment="1">
      <alignment vertical="center"/>
    </xf>
    <xf numFmtId="49" fontId="7" fillId="0" borderId="1" xfId="0" applyNumberFormat="1" applyFont="1" applyBorder="1"/>
    <xf numFmtId="3" fontId="7" fillId="0" borderId="1" xfId="0" applyNumberFormat="1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8" fillId="0" borderId="0" xfId="5" applyFont="1"/>
    <xf numFmtId="0" fontId="29" fillId="0" borderId="0" xfId="0" applyFont="1"/>
    <xf numFmtId="0" fontId="22" fillId="3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2" fillId="7" borderId="1" xfId="0" applyFont="1" applyFill="1" applyBorder="1" applyAlignment="1">
      <alignment horizontal="left" wrapText="1"/>
    </xf>
    <xf numFmtId="0" fontId="16" fillId="12" borderId="1" xfId="5" applyFill="1" applyBorder="1" applyAlignment="1">
      <alignment vertical="center"/>
    </xf>
    <xf numFmtId="0" fontId="4" fillId="13" borderId="2" xfId="0" applyFont="1" applyFill="1" applyBorder="1" applyAlignment="1">
      <alignment horizontal="center" vertical="center"/>
    </xf>
    <xf numFmtId="0" fontId="25" fillId="13" borderId="1" xfId="5" applyFont="1" applyFill="1" applyBorder="1" applyAlignment="1">
      <alignment vertical="center"/>
    </xf>
    <xf numFmtId="0" fontId="4" fillId="11" borderId="1" xfId="0" applyFont="1" applyFill="1" applyBorder="1" applyAlignment="1">
      <alignment horizontal="center" vertical="center"/>
    </xf>
    <xf numFmtId="0" fontId="30" fillId="0" borderId="0" xfId="0" applyFont="1"/>
    <xf numFmtId="0" fontId="0" fillId="0" borderId="0" xfId="0" applyAlignment="1">
      <alignment horizontal="left"/>
    </xf>
    <xf numFmtId="0" fontId="9" fillId="0" borderId="3" xfId="0" applyFont="1" applyBorder="1"/>
    <xf numFmtId="0" fontId="2" fillId="2" borderId="3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left" vertical="center" wrapText="1"/>
    </xf>
    <xf numFmtId="0" fontId="2" fillId="14" borderId="7" xfId="0" applyFont="1" applyFill="1" applyBorder="1" applyAlignment="1">
      <alignment horizontal="left" vertical="center" wrapText="1"/>
    </xf>
    <xf numFmtId="0" fontId="21" fillId="14" borderId="7" xfId="0" applyFont="1" applyFill="1" applyBorder="1" applyAlignment="1">
      <alignment horizontal="left" vertical="center" wrapText="1"/>
    </xf>
    <xf numFmtId="0" fontId="9" fillId="14" borderId="1" xfId="0" applyFont="1" applyFill="1" applyBorder="1"/>
    <xf numFmtId="3" fontId="8" fillId="14" borderId="1" xfId="0" applyNumberFormat="1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left" vertical="center" wrapText="1"/>
    </xf>
    <xf numFmtId="0" fontId="9" fillId="14" borderId="7" xfId="0" applyFont="1" applyFill="1" applyBorder="1"/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14" borderId="11" xfId="0" applyFont="1" applyFill="1" applyBorder="1" applyAlignment="1">
      <alignment vertical="center"/>
    </xf>
    <xf numFmtId="0" fontId="2" fillId="14" borderId="11" xfId="0" applyFont="1" applyFill="1" applyBorder="1" applyAlignment="1">
      <alignment horizontal="left" vertical="center" wrapText="1"/>
    </xf>
    <xf numFmtId="0" fontId="21" fillId="14" borderId="11" xfId="0" applyFont="1" applyFill="1" applyBorder="1" applyAlignment="1">
      <alignment horizontal="left" vertical="center" wrapText="1"/>
    </xf>
    <xf numFmtId="0" fontId="9" fillId="0" borderId="11" xfId="0" applyFont="1" applyBorder="1"/>
    <xf numFmtId="0" fontId="2" fillId="2" borderId="11" xfId="0" applyFont="1" applyFill="1" applyBorder="1" applyAlignment="1">
      <alignment horizontal="left" vertical="center" wrapText="1"/>
    </xf>
    <xf numFmtId="0" fontId="21" fillId="2" borderId="1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horizontal="left" vertical="center" wrapText="1"/>
    </xf>
    <xf numFmtId="0" fontId="9" fillId="14" borderId="7" xfId="0" applyFont="1" applyFill="1" applyBorder="1" applyAlignment="1">
      <alignment vertical="center"/>
    </xf>
    <xf numFmtId="0" fontId="31" fillId="0" borderId="0" xfId="0" applyFont="1" applyAlignment="1">
      <alignment horizontal="center"/>
    </xf>
    <xf numFmtId="0" fontId="9" fillId="0" borderId="1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/>
    </xf>
  </cellXfs>
  <cellStyles count="6">
    <cellStyle name="Smart Subtitle 1" xfId="4" xr:uid="{1D558425-231B-4D67-96DF-A985186DBD5C}"/>
    <cellStyle name="Smart Subtitle 2" xfId="3" xr:uid="{33AC0A1D-22E0-4BA6-BB60-80FA30636D2C}"/>
    <cellStyle name="Smart Title" xfId="1" xr:uid="{5D492880-52A3-47A9-B1FC-94548BA13B67}"/>
    <cellStyle name="표준" xfId="0" builtinId="0"/>
    <cellStyle name="표준 2" xfId="2" xr:uid="{F140403C-9A18-4813-9486-71981ADDBDAB}"/>
    <cellStyle name="하이퍼링크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66023</xdr:colOff>
      <xdr:row>1</xdr:row>
      <xdr:rowOff>0</xdr:rowOff>
    </xdr:from>
    <xdr:to>
      <xdr:col>2</xdr:col>
      <xdr:colOff>0</xdr:colOff>
      <xdr:row>2</xdr:row>
      <xdr:rowOff>166408</xdr:rowOff>
    </xdr:to>
    <xdr:pic>
      <xdr:nvPicPr>
        <xdr:cNvPr id="2" name="그래픽 2">
          <a:extLst>
            <a:ext uri="{FF2B5EF4-FFF2-40B4-BE49-F238E27FC236}">
              <a16:creationId xmlns:a16="http://schemas.microsoft.com/office/drawing/2014/main" id="{84550E56-EDB6-FADD-85AB-8B9F24454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r="58931"/>
        <a:stretch>
          <a:fillRect/>
        </a:stretch>
      </xdr:blipFill>
      <xdr:spPr>
        <a:xfrm>
          <a:off x="272211" y="224118"/>
          <a:ext cx="821483" cy="390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224117</xdr:rowOff>
        </xdr:from>
        <xdr:to>
          <xdr:col>6</xdr:col>
          <xdr:colOff>412376</xdr:colOff>
          <xdr:row>13</xdr:row>
          <xdr:rowOff>0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5CD1C146-7FD5-46CA-10A6-169A63B2CD9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상단메뉴!$A$1:$F$12" spid="_x0000_s12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6188" y="224117"/>
              <a:ext cx="5360894" cy="268941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24</xdr:row>
      <xdr:rowOff>1</xdr:rowOff>
    </xdr:from>
    <xdr:to>
      <xdr:col>10</xdr:col>
      <xdr:colOff>62775</xdr:colOff>
      <xdr:row>36</xdr:row>
      <xdr:rowOff>8966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E52857A-1E2F-A46F-F48F-4896978D5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6894" y="5585013"/>
          <a:ext cx="4930610" cy="27163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10</xdr:col>
      <xdr:colOff>140324</xdr:colOff>
      <xdr:row>21</xdr:row>
      <xdr:rowOff>75716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18F43C4-76B5-7BFF-A9B2-586D2F3F0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46894" y="672353"/>
          <a:ext cx="5008159" cy="47552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C9FC-9DC8-479A-A3B8-1A96B6532245}">
  <sheetPr>
    <pageSetUpPr fitToPage="1"/>
  </sheetPr>
  <dimension ref="B1:H21"/>
  <sheetViews>
    <sheetView showGridLines="0" zoomScaleNormal="100" workbookViewId="0">
      <selection activeCell="K1" sqref="K1"/>
    </sheetView>
  </sheetViews>
  <sheetFormatPr defaultRowHeight="12" customHeight="1"/>
  <cols>
    <col min="1" max="1" width="1.59765625" style="38" customWidth="1"/>
    <col min="2" max="2" width="8.796875" style="38" customWidth="1"/>
    <col min="3" max="4" width="22.8984375" style="38" customWidth="1"/>
    <col min="5" max="6" width="7" style="38" customWidth="1"/>
    <col min="7" max="7" width="2.3984375" style="38" customWidth="1"/>
    <col min="8" max="8" width="6.796875" style="38" hidden="1" customWidth="1"/>
    <col min="9" max="16384" width="8.796875" style="38"/>
  </cols>
  <sheetData>
    <row r="1" spans="2:8" ht="15" customHeight="1">
      <c r="B1" s="37" t="s">
        <v>252</v>
      </c>
    </row>
    <row r="2" spans="2:8" ht="13.2">
      <c r="B2" s="39" t="s">
        <v>108</v>
      </c>
    </row>
    <row r="4" spans="2:8" ht="12.75" customHeight="1" thickBot="1">
      <c r="B4" s="40" t="s">
        <v>109</v>
      </c>
      <c r="C4" s="40" t="s">
        <v>110</v>
      </c>
      <c r="D4" s="40" t="s">
        <v>111</v>
      </c>
      <c r="E4" s="40" t="s">
        <v>112</v>
      </c>
      <c r="F4" s="40"/>
      <c r="G4" s="40"/>
      <c r="H4" s="40" t="s">
        <v>113</v>
      </c>
    </row>
    <row r="5" spans="2:8" ht="12" hidden="1" customHeight="1">
      <c r="B5" s="41">
        <v>1</v>
      </c>
      <c r="C5" s="42" t="s">
        <v>114</v>
      </c>
      <c r="D5" s="42"/>
      <c r="E5" s="42" t="s">
        <v>115</v>
      </c>
      <c r="F5" s="42"/>
      <c r="G5" s="42"/>
      <c r="H5" s="43">
        <v>2</v>
      </c>
    </row>
    <row r="6" spans="2:8" customFormat="1" ht="12" customHeight="1">
      <c r="B6" s="41">
        <v>1</v>
      </c>
      <c r="C6" s="42" t="s">
        <v>116</v>
      </c>
      <c r="D6" s="42"/>
      <c r="E6" s="44" t="s">
        <v>115</v>
      </c>
      <c r="F6" s="42"/>
      <c r="G6" s="42"/>
      <c r="H6" s="43">
        <v>2</v>
      </c>
    </row>
    <row r="7" spans="2:8" customFormat="1" ht="12" customHeight="1">
      <c r="B7" s="41">
        <v>2</v>
      </c>
      <c r="C7" s="42" t="s">
        <v>242</v>
      </c>
      <c r="D7" s="42"/>
      <c r="E7" s="44" t="s">
        <v>115</v>
      </c>
      <c r="F7" s="42"/>
      <c r="G7" s="42"/>
      <c r="H7" s="43">
        <v>2</v>
      </c>
    </row>
    <row r="8" spans="2:8" customFormat="1" ht="12" customHeight="1">
      <c r="B8" s="41">
        <v>3</v>
      </c>
      <c r="C8" s="42" t="s">
        <v>243</v>
      </c>
      <c r="D8" s="42"/>
      <c r="E8" s="44" t="s">
        <v>115</v>
      </c>
      <c r="F8" s="42"/>
      <c r="G8" s="42"/>
      <c r="H8" s="43">
        <v>2</v>
      </c>
    </row>
    <row r="9" spans="2:8" customFormat="1" ht="12" customHeight="1">
      <c r="B9" s="41">
        <v>4</v>
      </c>
      <c r="C9" s="42" t="s">
        <v>117</v>
      </c>
      <c r="D9" s="42"/>
      <c r="E9" s="44" t="s">
        <v>115</v>
      </c>
      <c r="F9" s="42"/>
      <c r="G9" s="42"/>
      <c r="H9" s="43">
        <v>2</v>
      </c>
    </row>
    <row r="10" spans="2:8" customFormat="1" ht="12" customHeight="1">
      <c r="B10" s="41">
        <v>5</v>
      </c>
      <c r="C10" s="42" t="s">
        <v>244</v>
      </c>
      <c r="D10" s="42"/>
      <c r="E10" s="44" t="s">
        <v>115</v>
      </c>
      <c r="F10" s="42"/>
      <c r="G10" s="42"/>
      <c r="H10" s="43">
        <v>2</v>
      </c>
    </row>
    <row r="11" spans="2:8" customFormat="1" ht="12" customHeight="1">
      <c r="B11" s="41">
        <v>6</v>
      </c>
      <c r="C11" s="42" t="s">
        <v>245</v>
      </c>
      <c r="D11" s="42"/>
      <c r="E11" s="44" t="s">
        <v>115</v>
      </c>
      <c r="F11" s="42"/>
      <c r="G11" s="42"/>
      <c r="H11" s="43">
        <v>2</v>
      </c>
    </row>
    <row r="12" spans="2:8" customFormat="1" ht="12" customHeight="1">
      <c r="B12" s="41">
        <v>7</v>
      </c>
      <c r="C12" s="42" t="s">
        <v>246</v>
      </c>
      <c r="D12" s="42"/>
      <c r="E12" s="44" t="s">
        <v>115</v>
      </c>
      <c r="F12" s="42"/>
      <c r="G12" s="42"/>
      <c r="H12" s="43">
        <v>2</v>
      </c>
    </row>
    <row r="13" spans="2:8" customFormat="1" ht="12" customHeight="1">
      <c r="B13" s="41">
        <v>8</v>
      </c>
      <c r="C13" s="42" t="s">
        <v>247</v>
      </c>
      <c r="D13" s="42"/>
      <c r="E13" s="44" t="s">
        <v>115</v>
      </c>
      <c r="F13" s="42"/>
      <c r="G13" s="42"/>
      <c r="H13" s="43">
        <v>2</v>
      </c>
    </row>
    <row r="14" spans="2:8" customFormat="1" ht="12" customHeight="1">
      <c r="B14" s="41">
        <v>9</v>
      </c>
      <c r="C14" s="42" t="s">
        <v>248</v>
      </c>
      <c r="D14" s="42"/>
      <c r="E14" s="44" t="s">
        <v>115</v>
      </c>
      <c r="F14" s="42"/>
      <c r="G14" s="42"/>
      <c r="H14" s="43">
        <v>2</v>
      </c>
    </row>
    <row r="15" spans="2:8" customFormat="1" ht="12" customHeight="1">
      <c r="B15" s="41">
        <v>10</v>
      </c>
      <c r="C15" s="42" t="s">
        <v>249</v>
      </c>
      <c r="D15" s="42"/>
      <c r="E15" s="44" t="s">
        <v>115</v>
      </c>
      <c r="F15" s="42"/>
      <c r="G15" s="42"/>
      <c r="H15" s="43">
        <v>2</v>
      </c>
    </row>
    <row r="16" spans="2:8" customFormat="1" ht="12" customHeight="1">
      <c r="B16" s="41">
        <v>11</v>
      </c>
      <c r="C16" s="42" t="s">
        <v>332</v>
      </c>
      <c r="D16" s="42"/>
      <c r="E16" s="44" t="s">
        <v>115</v>
      </c>
      <c r="F16" s="42"/>
      <c r="G16" s="42"/>
      <c r="H16" s="43">
        <v>2</v>
      </c>
    </row>
    <row r="17" spans="2:8" customFormat="1" ht="12" customHeight="1">
      <c r="B17" s="41">
        <v>12</v>
      </c>
      <c r="C17" s="42" t="s">
        <v>250</v>
      </c>
      <c r="D17" s="42"/>
      <c r="E17" s="44" t="s">
        <v>115</v>
      </c>
      <c r="F17" s="42"/>
      <c r="G17" s="42"/>
      <c r="H17" s="43">
        <v>2</v>
      </c>
    </row>
    <row r="18" spans="2:8" customFormat="1" ht="12" customHeight="1">
      <c r="B18" s="41">
        <v>13</v>
      </c>
      <c r="C18" s="42" t="s">
        <v>251</v>
      </c>
      <c r="D18" s="42"/>
      <c r="E18" s="44" t="s">
        <v>115</v>
      </c>
      <c r="F18" s="42"/>
      <c r="G18" s="42"/>
      <c r="H18" s="43">
        <v>2</v>
      </c>
    </row>
    <row r="19" spans="2:8" customFormat="1" ht="12" customHeight="1">
      <c r="B19" s="41">
        <v>14</v>
      </c>
      <c r="C19" s="42" t="s">
        <v>304</v>
      </c>
      <c r="D19" s="42"/>
      <c r="E19" s="44" t="s">
        <v>115</v>
      </c>
      <c r="F19" s="42"/>
      <c r="G19" s="42"/>
      <c r="H19" s="43">
        <v>2</v>
      </c>
    </row>
    <row r="20" spans="2:8" customFormat="1" ht="12" customHeight="1">
      <c r="B20" s="41">
        <v>15</v>
      </c>
      <c r="C20" s="42" t="s">
        <v>305</v>
      </c>
      <c r="D20" s="42"/>
      <c r="E20" s="44" t="s">
        <v>115</v>
      </c>
      <c r="F20" s="42"/>
      <c r="G20" s="42"/>
      <c r="H20" s="43">
        <v>2</v>
      </c>
    </row>
    <row r="21" spans="2:8" ht="12" customHeight="1">
      <c r="B21" s="41">
        <v>16</v>
      </c>
      <c r="C21" s="42" t="s">
        <v>118</v>
      </c>
      <c r="D21" s="42"/>
      <c r="E21" s="44" t="s">
        <v>115</v>
      </c>
      <c r="F21" s="42"/>
      <c r="G21" s="42"/>
      <c r="H21" s="43">
        <v>2</v>
      </c>
    </row>
  </sheetData>
  <phoneticPr fontId="1" type="noConversion"/>
  <hyperlinks>
    <hyperlink ref="E6" location="'▶개요'!A1" tooltip="▶개요" display="View" xr:uid="{631EA5C2-81AC-4FCB-AD60-10E15A87FCCD}"/>
    <hyperlink ref="E7" location="'상단메뉴'!A1" tooltip="상단메뉴" display="View" xr:uid="{6E3690EE-2B17-4092-B8EC-D68CD63B5029}"/>
    <hyperlink ref="E8" location="'정보구조도'!A1" tooltip="정보구조도" display="View" xr:uid="{E9503313-B08A-4B07-B13B-0C145C0EF853}"/>
    <hyperlink ref="E9" location="'▶상세페이지'!A1" tooltip="▶상세페이지" display="View" xr:uid="{39BC9321-1E05-4FBC-A591-5B9BF11BCB23}"/>
    <hyperlink ref="E10" location="'C1 공지사항'!A1" tooltip="C1 공지사항" display="View" xr:uid="{D9D36ED4-F43A-429F-8C71-72ABEE1CBFA8}"/>
    <hyperlink ref="E11" location="'C2-(1) Pool 목록'!A1" tooltip="C2-(1) Pool 목록" display="View" xr:uid="{A7736B6D-56F4-47FD-A2FB-37208549ADDD}"/>
    <hyperlink ref="E12" location="'C2-(2) Pool 상세정보'!A1" tooltip="C2-(2) Pool 상세정보" display="View" xr:uid="{55F31039-20D6-4950-A710-233465F3B820}"/>
    <hyperlink ref="E13" location="'C3-(2) 거래자료 등록-매도인'!A1" tooltip="C3-(2) 거래자료 등록-매도인" display="View" xr:uid="{E35B0A7C-F684-4D2F-8866-E8CB7C39E429}"/>
    <hyperlink ref="E14" location="'C3-(2) 거래자료 등록-매수인'!A1" tooltip="C3-(2) 거래자료 등록-매수인" display="View" xr:uid="{146BE6C5-6F8E-4F8E-B0EC-0B865E200436}"/>
    <hyperlink ref="E15" location="'C3-(2) 매각자료 등록-회계법인'!A1" tooltip="C3-(2) 매각자료 등록-회계법인" display="View" xr:uid="{2E832442-0763-435E-A1EC-65869D43DE72}"/>
    <hyperlink ref="E16" location="'D2-(1) 용어 사전'!A1" tooltip="D2-(1) 용어 사전" display="View" xr:uid="{F428D222-4798-407C-8376-7E6FD07C33F7}"/>
    <hyperlink ref="E17" location="'X 회원가입'!A1" tooltip="X 회원가입" display="View" xr:uid="{8769E14B-56D5-4272-8D7C-7B6C55500EB8}"/>
    <hyperlink ref="E18" location="'Y 마이페이지'!A1" tooltip="Y 마이페이지" display="View" xr:uid="{6F49C0B8-2E16-4309-A825-B8BC09F76D86}"/>
    <hyperlink ref="E19" location="'Z1-(1) 회원 관리'!A1" tooltip="Z1-(1) 회원 관리" display="View" xr:uid="{93AD6CDC-A0C0-4E15-A0F0-2B1B026EFB06}"/>
    <hyperlink ref="E20" location="'Z2-(1) 상담 관리'!A1" tooltip="Z2-(1) 상담 관리" display="View" xr:uid="{0CA86258-0C10-4EEA-9233-9150F163E7C6}"/>
    <hyperlink ref="E21" location="'▶Backup'!A1" tooltip="▶Backup" display="View" xr:uid="{42B8F933-E7AF-4A54-918F-F20A69032078}"/>
  </hyperlinks>
  <pageMargins left="0.6" right="0.6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3024-3B98-4E1B-BC7E-DBB210CB248F}">
  <sheetPr>
    <tabColor theme="1"/>
  </sheetPr>
  <dimension ref="A1"/>
  <sheetViews>
    <sheetView showGridLines="0" zoomScale="85" zoomScaleNormal="85" workbookViewId="0">
      <selection activeCell="G46" sqref="G46"/>
    </sheetView>
  </sheetViews>
  <sheetFormatPr defaultRowHeight="17.399999999999999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66CD-6817-404B-9D6A-A8621B67C300}">
  <sheetPr>
    <tabColor theme="2" tint="-9.9978637043366805E-2"/>
  </sheetPr>
  <dimension ref="B4:E12"/>
  <sheetViews>
    <sheetView showGridLines="0" zoomScale="85" zoomScaleNormal="85" workbookViewId="0"/>
  </sheetViews>
  <sheetFormatPr defaultRowHeight="17.399999999999999"/>
  <cols>
    <col min="1" max="1" width="2.69921875" customWidth="1"/>
    <col min="2" max="2" width="11.69921875" customWidth="1"/>
    <col min="3" max="3" width="17.8984375" customWidth="1"/>
    <col min="4" max="4" width="19.19921875" customWidth="1"/>
    <col min="5" max="5" width="16.19921875" customWidth="1"/>
    <col min="6" max="6" width="2.69921875" customWidth="1"/>
  </cols>
  <sheetData>
    <row r="4" spans="2:5">
      <c r="B4" s="2" t="s">
        <v>130</v>
      </c>
    </row>
    <row r="5" spans="2:5">
      <c r="E5" s="51" t="s">
        <v>157</v>
      </c>
    </row>
    <row r="6" spans="2:5">
      <c r="B6" s="45" t="s">
        <v>119</v>
      </c>
      <c r="C6" s="45" t="s">
        <v>120</v>
      </c>
      <c r="D6" s="45" t="s">
        <v>27</v>
      </c>
      <c r="E6" s="45" t="s">
        <v>28</v>
      </c>
    </row>
    <row r="7" spans="2:5">
      <c r="B7" s="46"/>
      <c r="C7" s="46" t="s">
        <v>121</v>
      </c>
      <c r="D7" s="46" t="s">
        <v>25</v>
      </c>
      <c r="E7" s="46" t="s">
        <v>124</v>
      </c>
    </row>
    <row r="8" spans="2:5">
      <c r="B8" s="46"/>
      <c r="C8" s="47" t="s">
        <v>128</v>
      </c>
      <c r="D8" s="46" t="s">
        <v>123</v>
      </c>
      <c r="E8" s="46" t="s">
        <v>125</v>
      </c>
    </row>
    <row r="9" spans="2:5">
      <c r="B9" s="46"/>
      <c r="C9" s="46" t="s">
        <v>122</v>
      </c>
      <c r="D9" s="46" t="s">
        <v>138</v>
      </c>
      <c r="E9" s="46" t="s">
        <v>37</v>
      </c>
    </row>
    <row r="10" spans="2:5">
      <c r="B10" s="6"/>
      <c r="C10" s="47" t="s">
        <v>127</v>
      </c>
      <c r="D10" s="48" t="s">
        <v>129</v>
      </c>
      <c r="E10" s="6"/>
    </row>
    <row r="11" spans="2:5">
      <c r="B11" s="6"/>
      <c r="C11" s="6"/>
      <c r="D11" s="48" t="s">
        <v>139</v>
      </c>
      <c r="E11" s="6"/>
    </row>
    <row r="12" spans="2:5">
      <c r="D12" s="48" t="s">
        <v>38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D0EB-A0F6-4A45-88F0-9C02A79A60FA}">
  <sheetPr>
    <tabColor theme="2" tint="-9.9978637043366805E-2"/>
  </sheetPr>
  <dimension ref="B2:V32"/>
  <sheetViews>
    <sheetView showGridLines="0" tabSelected="1" zoomScale="85" zoomScaleNormal="85" workbookViewId="0">
      <selection activeCell="A5" sqref="A5"/>
    </sheetView>
  </sheetViews>
  <sheetFormatPr defaultRowHeight="17.399999999999999"/>
  <cols>
    <col min="1" max="1" width="2.69921875" customWidth="1"/>
    <col min="2" max="2" width="4.69921875" style="6" customWidth="1"/>
    <col min="3" max="3" width="17.19921875" customWidth="1"/>
    <col min="4" max="4" width="4.69921875" style="19" customWidth="1"/>
    <col min="5" max="5" width="19.09765625" customWidth="1"/>
    <col min="6" max="6" width="19.296875" customWidth="1"/>
    <col min="7" max="7" width="10.69921875" customWidth="1"/>
    <col min="8" max="8" width="60.69921875" customWidth="1"/>
    <col min="9" max="9" width="63.69921875" customWidth="1"/>
    <col min="10" max="12" width="8.09765625" style="6" customWidth="1"/>
    <col min="17" max="17" width="12.69921875" style="6" customWidth="1"/>
    <col min="18" max="18" width="16.59765625" style="6" bestFit="1" customWidth="1"/>
    <col min="19" max="21" width="12.69921875" style="6" customWidth="1"/>
    <col min="22" max="22" width="16.09765625" style="6" bestFit="1" customWidth="1"/>
  </cols>
  <sheetData>
    <row r="2" spans="2:12">
      <c r="H2" s="2" t="s">
        <v>194</v>
      </c>
      <c r="I2" s="2" t="s">
        <v>371</v>
      </c>
    </row>
    <row r="3" spans="2:12">
      <c r="H3" t="s">
        <v>361</v>
      </c>
      <c r="I3" t="s">
        <v>372</v>
      </c>
    </row>
    <row r="4" spans="2:12">
      <c r="H4" t="s">
        <v>374</v>
      </c>
      <c r="I4" t="s">
        <v>373</v>
      </c>
    </row>
    <row r="5" spans="2:12">
      <c r="H5" t="s">
        <v>375</v>
      </c>
      <c r="I5" t="s">
        <v>377</v>
      </c>
    </row>
    <row r="7" spans="2:12">
      <c r="H7" t="s">
        <v>362</v>
      </c>
    </row>
    <row r="10" spans="2:12">
      <c r="L10" s="120"/>
    </row>
    <row r="12" spans="2:12">
      <c r="K12" s="6" t="s">
        <v>40</v>
      </c>
      <c r="L12" s="120" t="s">
        <v>336</v>
      </c>
    </row>
    <row r="13" spans="2:12">
      <c r="K13" s="6" t="s">
        <v>334</v>
      </c>
      <c r="L13" s="120" t="s">
        <v>335</v>
      </c>
    </row>
    <row r="14" spans="2:12">
      <c r="J14" s="4"/>
      <c r="K14" s="4" t="s">
        <v>39</v>
      </c>
      <c r="L14" s="4"/>
    </row>
    <row r="15" spans="2:12">
      <c r="B15" s="30" t="s">
        <v>66</v>
      </c>
      <c r="C15" s="31"/>
      <c r="D15" s="16" t="s">
        <v>30</v>
      </c>
      <c r="E15" s="3" t="s">
        <v>164</v>
      </c>
      <c r="F15" s="3" t="s">
        <v>165</v>
      </c>
      <c r="G15" s="3" t="s">
        <v>166</v>
      </c>
      <c r="H15" s="5" t="s">
        <v>142</v>
      </c>
      <c r="I15" s="5" t="s">
        <v>141</v>
      </c>
      <c r="J15" s="5" t="s">
        <v>38</v>
      </c>
      <c r="K15" s="5" t="s">
        <v>129</v>
      </c>
      <c r="L15" s="5" t="s">
        <v>139</v>
      </c>
    </row>
    <row r="16" spans="2:12">
      <c r="B16" s="17" t="s">
        <v>31</v>
      </c>
      <c r="C16" s="7" t="s">
        <v>119</v>
      </c>
      <c r="D16" s="50"/>
      <c r="E16" s="50"/>
      <c r="F16" s="50"/>
      <c r="G16" s="50"/>
      <c r="H16" s="8"/>
      <c r="I16" s="8" t="s">
        <v>231</v>
      </c>
      <c r="J16" s="18" t="s">
        <v>40</v>
      </c>
      <c r="K16" s="18" t="s">
        <v>333</v>
      </c>
      <c r="L16" s="18" t="s">
        <v>333</v>
      </c>
    </row>
    <row r="17" spans="2:13">
      <c r="B17" s="20" t="s">
        <v>32</v>
      </c>
      <c r="C17" s="23" t="s">
        <v>120</v>
      </c>
      <c r="D17" s="17" t="s">
        <v>145</v>
      </c>
      <c r="E17" s="8" t="s">
        <v>121</v>
      </c>
      <c r="F17" s="8" t="s">
        <v>128</v>
      </c>
      <c r="G17" s="50"/>
      <c r="H17" s="49" t="s">
        <v>131</v>
      </c>
      <c r="I17" s="49" t="s">
        <v>133</v>
      </c>
      <c r="J17" s="18" t="s">
        <v>40</v>
      </c>
      <c r="K17" s="18" t="s">
        <v>40</v>
      </c>
      <c r="L17" s="18" t="s">
        <v>40</v>
      </c>
      <c r="M17" t="s">
        <v>343</v>
      </c>
    </row>
    <row r="18" spans="2:13">
      <c r="B18" s="27"/>
      <c r="C18" s="29"/>
      <c r="D18" s="17" t="s">
        <v>146</v>
      </c>
      <c r="E18" s="8" t="s">
        <v>122</v>
      </c>
      <c r="F18" s="8" t="s">
        <v>127</v>
      </c>
      <c r="G18" s="50"/>
      <c r="H18" s="49" t="s">
        <v>132</v>
      </c>
      <c r="I18" s="49" t="s">
        <v>134</v>
      </c>
      <c r="J18" s="18" t="s">
        <v>40</v>
      </c>
      <c r="K18" s="18" t="s">
        <v>40</v>
      </c>
      <c r="L18" s="18" t="s">
        <v>40</v>
      </c>
    </row>
    <row r="19" spans="2:13">
      <c r="B19" s="20" t="s">
        <v>33</v>
      </c>
      <c r="C19" s="23" t="s">
        <v>27</v>
      </c>
      <c r="D19" s="69" t="s">
        <v>147</v>
      </c>
      <c r="E19" s="80" t="s">
        <v>25</v>
      </c>
      <c r="F19" s="50"/>
      <c r="G19" s="50"/>
      <c r="H19" s="9" t="s">
        <v>143</v>
      </c>
      <c r="I19" s="9" t="s">
        <v>144</v>
      </c>
      <c r="J19" s="18" t="s">
        <v>40</v>
      </c>
      <c r="K19" s="18" t="s">
        <v>333</v>
      </c>
      <c r="L19" s="18" t="s">
        <v>333</v>
      </c>
    </row>
    <row r="20" spans="2:13" ht="34.799999999999997">
      <c r="B20" s="26"/>
      <c r="C20" s="28"/>
      <c r="D20" s="70" t="s">
        <v>148</v>
      </c>
      <c r="E20" s="71" t="s">
        <v>87</v>
      </c>
      <c r="F20" s="78" t="s">
        <v>137</v>
      </c>
      <c r="G20" s="50"/>
      <c r="H20" s="9" t="s">
        <v>162</v>
      </c>
      <c r="I20" s="9" t="s">
        <v>163</v>
      </c>
      <c r="J20" s="18" t="s">
        <v>40</v>
      </c>
      <c r="K20" s="18" t="s">
        <v>333</v>
      </c>
      <c r="L20" s="18" t="s">
        <v>333</v>
      </c>
      <c r="M20" t="s">
        <v>337</v>
      </c>
    </row>
    <row r="21" spans="2:13" ht="34.799999999999997">
      <c r="B21" s="21"/>
      <c r="C21" s="24"/>
      <c r="D21" s="72" t="s">
        <v>149</v>
      </c>
      <c r="E21" s="73" t="s">
        <v>138</v>
      </c>
      <c r="F21" s="79" t="s">
        <v>129</v>
      </c>
      <c r="G21" s="50"/>
      <c r="H21" s="9" t="s">
        <v>195</v>
      </c>
      <c r="I21" s="9" t="s">
        <v>140</v>
      </c>
      <c r="J21" s="18" t="s">
        <v>40</v>
      </c>
      <c r="K21" s="18" t="s">
        <v>40</v>
      </c>
      <c r="L21" s="18" t="s">
        <v>153</v>
      </c>
    </row>
    <row r="22" spans="2:13" ht="34.799999999999997">
      <c r="B22" s="21"/>
      <c r="C22" s="24"/>
      <c r="D22" s="74"/>
      <c r="E22" s="75"/>
      <c r="F22" s="79" t="s">
        <v>139</v>
      </c>
      <c r="G22" s="50"/>
      <c r="H22" s="9" t="s">
        <v>195</v>
      </c>
      <c r="I22" s="9" t="s">
        <v>346</v>
      </c>
      <c r="J22" s="18" t="s">
        <v>40</v>
      </c>
      <c r="K22" s="18" t="s">
        <v>153</v>
      </c>
      <c r="L22" s="18" t="s">
        <v>40</v>
      </c>
      <c r="M22" t="s">
        <v>345</v>
      </c>
    </row>
    <row r="23" spans="2:13" ht="52.2">
      <c r="B23" s="21"/>
      <c r="C23" s="24"/>
      <c r="D23" s="76"/>
      <c r="E23" s="77"/>
      <c r="F23" s="79" t="s">
        <v>38</v>
      </c>
      <c r="G23" s="50"/>
      <c r="H23" s="9" t="s">
        <v>195</v>
      </c>
      <c r="I23" s="9" t="s">
        <v>218</v>
      </c>
      <c r="J23" s="18" t="s">
        <v>40</v>
      </c>
      <c r="K23" s="18" t="s">
        <v>153</v>
      </c>
      <c r="L23" s="18" t="s">
        <v>153</v>
      </c>
    </row>
    <row r="24" spans="2:13">
      <c r="B24" s="20" t="s">
        <v>34</v>
      </c>
      <c r="C24" s="23" t="s">
        <v>28</v>
      </c>
      <c r="D24" s="17" t="s">
        <v>150</v>
      </c>
      <c r="E24" s="8" t="s">
        <v>35</v>
      </c>
      <c r="F24" s="50"/>
      <c r="G24" s="50"/>
      <c r="H24" s="8"/>
      <c r="I24" s="8" t="s">
        <v>135</v>
      </c>
      <c r="J24" s="18" t="s">
        <v>40</v>
      </c>
      <c r="K24" s="18" t="s">
        <v>333</v>
      </c>
      <c r="L24" s="18" t="s">
        <v>333</v>
      </c>
    </row>
    <row r="25" spans="2:13">
      <c r="B25" s="21"/>
      <c r="C25" s="24"/>
      <c r="D25" s="109" t="s">
        <v>151</v>
      </c>
      <c r="E25" s="115" t="s">
        <v>36</v>
      </c>
      <c r="F25" s="50"/>
      <c r="G25" s="50"/>
      <c r="H25" s="8"/>
      <c r="I25" s="8" t="s">
        <v>136</v>
      </c>
      <c r="J25" s="18" t="s">
        <v>40</v>
      </c>
      <c r="K25" s="18" t="s">
        <v>333</v>
      </c>
      <c r="L25" s="18" t="s">
        <v>333</v>
      </c>
    </row>
    <row r="26" spans="2:13">
      <c r="B26" s="22"/>
      <c r="C26" s="25"/>
      <c r="D26" s="17" t="s">
        <v>152</v>
      </c>
      <c r="E26" s="8" t="s">
        <v>37</v>
      </c>
      <c r="F26" s="50"/>
      <c r="G26" s="50"/>
      <c r="H26" s="8"/>
      <c r="I26" s="8"/>
      <c r="J26" s="18" t="s">
        <v>40</v>
      </c>
      <c r="K26" s="18" t="s">
        <v>333</v>
      </c>
      <c r="L26" s="18" t="s">
        <v>333</v>
      </c>
    </row>
    <row r="27" spans="2:13" ht="4.95" customHeight="1">
      <c r="B27" s="58"/>
      <c r="C27" s="59"/>
      <c r="D27" s="60"/>
      <c r="E27" s="50"/>
      <c r="F27" s="50"/>
      <c r="G27" s="50"/>
      <c r="H27" s="50"/>
      <c r="I27" s="50"/>
      <c r="J27" s="61"/>
      <c r="K27" s="61"/>
      <c r="L27" s="61"/>
    </row>
    <row r="28" spans="2:13">
      <c r="B28" s="116" t="s">
        <v>153</v>
      </c>
      <c r="C28" s="117" t="s">
        <v>219</v>
      </c>
      <c r="D28" s="60"/>
      <c r="E28" s="60"/>
      <c r="F28" s="60"/>
      <c r="G28" s="60"/>
      <c r="H28" s="8"/>
      <c r="I28" s="8"/>
      <c r="J28" s="18" t="s">
        <v>40</v>
      </c>
      <c r="K28" s="18" t="s">
        <v>40</v>
      </c>
      <c r="L28" s="18" t="s">
        <v>40</v>
      </c>
    </row>
    <row r="29" spans="2:13">
      <c r="B29" s="116" t="s">
        <v>154</v>
      </c>
      <c r="C29" s="117" t="s">
        <v>220</v>
      </c>
      <c r="D29" s="60"/>
      <c r="E29" s="60"/>
      <c r="F29" s="60"/>
      <c r="G29" s="60"/>
      <c r="H29" s="8" t="s">
        <v>223</v>
      </c>
      <c r="I29" s="8"/>
      <c r="J29" s="18"/>
      <c r="K29" s="18"/>
      <c r="L29" s="18"/>
    </row>
    <row r="30" spans="2:13">
      <c r="B30" s="20" t="s">
        <v>156</v>
      </c>
      <c r="C30" s="23" t="s">
        <v>158</v>
      </c>
      <c r="D30" s="118" t="s">
        <v>159</v>
      </c>
      <c r="E30" s="99" t="s">
        <v>126</v>
      </c>
      <c r="F30" s="60"/>
      <c r="G30" s="60"/>
      <c r="H30" s="8" t="s">
        <v>191</v>
      </c>
      <c r="I30" s="8" t="s">
        <v>161</v>
      </c>
      <c r="J30" s="18" t="s">
        <v>344</v>
      </c>
      <c r="K30" s="18" t="s">
        <v>153</v>
      </c>
      <c r="L30" s="18" t="s">
        <v>153</v>
      </c>
    </row>
    <row r="31" spans="2:13">
      <c r="B31" s="27"/>
      <c r="C31" s="29"/>
      <c r="D31" s="118" t="s">
        <v>160</v>
      </c>
      <c r="E31" s="99" t="s">
        <v>155</v>
      </c>
      <c r="F31" s="60"/>
      <c r="G31" s="60"/>
      <c r="H31" s="8" t="s">
        <v>221</v>
      </c>
      <c r="I31" s="8" t="s">
        <v>222</v>
      </c>
      <c r="J31" s="18" t="s">
        <v>344</v>
      </c>
      <c r="K31" s="18" t="s">
        <v>153</v>
      </c>
      <c r="L31" s="18" t="s">
        <v>153</v>
      </c>
    </row>
    <row r="32" spans="2:13">
      <c r="J32" s="36"/>
      <c r="K32" s="36"/>
      <c r="L32" s="36"/>
    </row>
  </sheetData>
  <phoneticPr fontId="1" type="noConversion"/>
  <hyperlinks>
    <hyperlink ref="C29" location="'Y 마이페이지'!A1" display="마이페이지" xr:uid="{3A038C07-B10E-4A14-8326-16EA96383D4B}"/>
    <hyperlink ref="C28" location="'X 회원가입'!A1" display="회원가입" xr:uid="{6E8ACBF4-0267-465F-8461-056CB293A60E}"/>
    <hyperlink ref="E20" location="'C2-(1) Pool 목록'!A1" display="'C2-(1) Pool 목록'!A1" xr:uid="{66A3FB9C-063D-49B1-8EA0-D8DD89026C60}"/>
    <hyperlink ref="F20" location="'C2-(2) Pool 상세정보'!A1" display="Pool 상세정보" xr:uid="{0F3E1378-BEE1-490F-BC7D-8ABBA7E3EF5F}"/>
    <hyperlink ref="F21" location="'C3-(2) 거래자료 등록-매도인'!A1" display="매도인" xr:uid="{ADB854DC-3FB9-4B82-992D-341558411A06}"/>
    <hyperlink ref="F22" location="'C3-(2) 거래자료 등록-매수인'!A1" display="매수인" xr:uid="{4E73D6F7-B7BF-4C48-B8AA-41B45355F894}"/>
    <hyperlink ref="F23" location="'C3-(2) 매각자료 등록-회계법인'!A1" display="회계법인" xr:uid="{0C9322B5-3354-40BB-BD46-674F68A848AB}"/>
    <hyperlink ref="E19" location="'C1 공지사항'!A1" display="공지사항" xr:uid="{DDC2CBE3-3119-44D0-970C-E728CF1B0C2F}"/>
    <hyperlink ref="E30" location="'Z1-(1) 회원 관리'!A1" display="회원 관리" xr:uid="{8BDC9213-420D-44EE-9E21-CCBCED308470}"/>
    <hyperlink ref="E31" location="'Z2-(1) 상담 관리'!A1" display="상담 관리" xr:uid="{EE89CA46-8AA7-4800-849A-BE0462A0DAED}"/>
    <hyperlink ref="E25" location="'D2-(1) 용어 사전'!A1" display="용어 사전" xr:uid="{C5DBDF9F-3873-4714-90CB-1632413675FB}"/>
  </hyperlink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A054-83C5-4947-9836-8CFE6D0AB7D1}">
  <sheetPr>
    <tabColor theme="1"/>
  </sheetPr>
  <dimension ref="A1"/>
  <sheetViews>
    <sheetView showGridLines="0" zoomScale="85" zoomScaleNormal="85" workbookViewId="0"/>
  </sheetViews>
  <sheetFormatPr defaultRowHeight="17.399999999999999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E968-A2CE-4C49-BD63-7AF132365038}">
  <sheetPr>
    <tabColor theme="9" tint="0.39997558519241921"/>
  </sheetPr>
  <dimension ref="B1:I16"/>
  <sheetViews>
    <sheetView showGridLines="0" zoomScale="85" zoomScaleNormal="85" workbookViewId="0"/>
  </sheetViews>
  <sheetFormatPr defaultRowHeight="17.399999999999999"/>
  <cols>
    <col min="1" max="1" width="2.69921875" customWidth="1"/>
    <col min="2" max="2" width="3.8984375" bestFit="1" customWidth="1"/>
    <col min="3" max="3" width="24.296875" bestFit="1" customWidth="1"/>
    <col min="4" max="4" width="58.59765625" customWidth="1"/>
    <col min="5" max="5" width="10.296875" customWidth="1"/>
    <col min="6" max="6" width="13.8984375" customWidth="1"/>
    <col min="9" max="9" width="52.19921875" customWidth="1"/>
  </cols>
  <sheetData>
    <row r="1" spans="2:9">
      <c r="B1" s="98" t="s">
        <v>303</v>
      </c>
    </row>
    <row r="2" spans="2:9">
      <c r="B2" s="52" t="str" cm="1">
        <f t="array" aca="1" ref="B2" ca="1">MID(CELL("filename",A1),FIND("]",CELL("filename",A1))+1,255)</f>
        <v>C1 공지사항</v>
      </c>
    </row>
    <row r="3" spans="2:9" s="92" customFormat="1" ht="15.6">
      <c r="B3" s="62" t="s">
        <v>30</v>
      </c>
      <c r="C3" s="62" t="s">
        <v>66</v>
      </c>
      <c r="D3" s="81" t="s">
        <v>235</v>
      </c>
      <c r="E3" s="67" t="s">
        <v>232</v>
      </c>
      <c r="F3" s="67" t="s">
        <v>233</v>
      </c>
      <c r="H3" s="97" t="s">
        <v>241</v>
      </c>
    </row>
    <row r="4" spans="2:9" s="92" customFormat="1" ht="15.6">
      <c r="B4" s="63">
        <v>1</v>
      </c>
      <c r="C4" s="63" t="s">
        <v>238</v>
      </c>
      <c r="D4" s="93" t="s">
        <v>239</v>
      </c>
      <c r="E4" s="13" t="s">
        <v>64</v>
      </c>
      <c r="F4" s="96">
        <v>46022</v>
      </c>
      <c r="H4" s="67" t="s">
        <v>66</v>
      </c>
      <c r="I4" s="63" t="s">
        <v>237</v>
      </c>
    </row>
    <row r="5" spans="2:9" s="92" customFormat="1" ht="15.6">
      <c r="B5" s="63">
        <v>2</v>
      </c>
      <c r="C5" s="63" t="s">
        <v>237</v>
      </c>
      <c r="D5" s="93" t="s">
        <v>240</v>
      </c>
      <c r="E5" s="13" t="s">
        <v>64</v>
      </c>
      <c r="F5" s="96">
        <v>46112</v>
      </c>
      <c r="G5" s="14" t="s">
        <v>329</v>
      </c>
      <c r="H5" s="67" t="s">
        <v>235</v>
      </c>
      <c r="I5" s="63" t="s">
        <v>240</v>
      </c>
    </row>
    <row r="6" spans="2:9" s="92" customFormat="1" ht="15.6">
      <c r="B6" s="63">
        <v>3</v>
      </c>
      <c r="C6" s="63" t="s">
        <v>238</v>
      </c>
      <c r="D6" s="93" t="s">
        <v>342</v>
      </c>
      <c r="E6" s="13" t="s">
        <v>64</v>
      </c>
      <c r="F6" s="96">
        <v>45930</v>
      </c>
      <c r="H6" s="143" t="s">
        <v>205</v>
      </c>
      <c r="I6" s="142" t="s">
        <v>330</v>
      </c>
    </row>
    <row r="7" spans="2:9" s="92" customFormat="1" ht="15.6">
      <c r="B7" s="63" t="s">
        <v>45</v>
      </c>
      <c r="C7" s="63" t="s">
        <v>45</v>
      </c>
      <c r="D7" s="63" t="s">
        <v>45</v>
      </c>
      <c r="E7" s="63" t="s">
        <v>45</v>
      </c>
      <c r="F7" s="63" t="s">
        <v>45</v>
      </c>
      <c r="H7" s="143"/>
      <c r="I7" s="142"/>
    </row>
    <row r="8" spans="2:9" s="92" customFormat="1" ht="15.6">
      <c r="H8" s="67" t="s">
        <v>232</v>
      </c>
      <c r="I8" s="63" t="s">
        <v>331</v>
      </c>
    </row>
    <row r="9" spans="2:9" s="92" customFormat="1" ht="15.6"/>
    <row r="10" spans="2:9" s="92" customFormat="1" ht="15.6"/>
    <row r="11" spans="2:9" s="92" customFormat="1" ht="15.6"/>
    <row r="12" spans="2:9" s="92" customFormat="1" ht="15.6"/>
    <row r="13" spans="2:9" s="92" customFormat="1" ht="15.6"/>
    <row r="14" spans="2:9" s="92" customFormat="1" ht="15.6"/>
    <row r="15" spans="2:9" s="92" customFormat="1" ht="15.6"/>
    <row r="16" spans="2:9" s="92" customFormat="1" ht="15.6"/>
  </sheetData>
  <mergeCells count="2">
    <mergeCell ref="I6:I7"/>
    <mergeCell ref="H6:H7"/>
  </mergeCells>
  <phoneticPr fontId="1" type="noConversion"/>
  <hyperlinks>
    <hyperlink ref="B1" location="정보구조도!A1" display="정보구조도!A1" xr:uid="{109A71AA-4E12-45EA-A1E9-770BD2DBFF4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97E7-D420-4678-A562-11F902E169FB}">
  <sheetPr>
    <tabColor theme="9" tint="0.59999389629810485"/>
  </sheetPr>
  <dimension ref="B1:Y12"/>
  <sheetViews>
    <sheetView showGridLines="0" zoomScale="85" zoomScaleNormal="85" workbookViewId="0"/>
  </sheetViews>
  <sheetFormatPr defaultRowHeight="17.399999999999999" outlineLevelCol="1"/>
  <cols>
    <col min="1" max="1" width="2.69921875" customWidth="1"/>
    <col min="2" max="2" width="3.8984375" bestFit="1" customWidth="1"/>
    <col min="3" max="3" width="6.796875" customWidth="1"/>
    <col min="4" max="4" width="24.296875" bestFit="1" customWidth="1"/>
    <col min="5" max="6" width="13.19921875" customWidth="1" outlineLevel="1"/>
    <col min="7" max="7" width="10.8984375" bestFit="1" customWidth="1"/>
    <col min="8" max="9" width="10.8984375" customWidth="1"/>
    <col min="10" max="10" width="12.3984375" customWidth="1" outlineLevel="1"/>
    <col min="11" max="11" width="12.796875" customWidth="1" outlineLevel="1"/>
    <col min="12" max="12" width="10.09765625" bestFit="1" customWidth="1"/>
    <col min="13" max="13" width="16.09765625" bestFit="1" customWidth="1"/>
    <col min="14" max="14" width="11.8984375" bestFit="1" customWidth="1"/>
    <col min="15" max="15" width="9.296875" bestFit="1" customWidth="1"/>
    <col min="16" max="16" width="11.296875" bestFit="1" customWidth="1"/>
    <col min="21" max="21" width="12.59765625" bestFit="1" customWidth="1"/>
    <col min="22" max="23" width="18.19921875" customWidth="1"/>
  </cols>
  <sheetData>
    <row r="1" spans="2:25">
      <c r="B1" s="98" t="s">
        <v>303</v>
      </c>
    </row>
    <row r="2" spans="2:25">
      <c r="B2" s="52" t="str" cm="1">
        <f t="array" aca="1" ref="B2" ca="1">MID(CELL("filename",A1),FIND("]",CELL("filename",A1))+1,255)</f>
        <v>C2-(1) Pool 목록</v>
      </c>
      <c r="C2" s="2"/>
      <c r="E2" s="141" t="s">
        <v>338</v>
      </c>
      <c r="F2" s="141" t="s">
        <v>338</v>
      </c>
      <c r="J2" s="141" t="s">
        <v>338</v>
      </c>
      <c r="K2" s="141" t="s">
        <v>338</v>
      </c>
      <c r="T2" s="2" t="s">
        <v>71</v>
      </c>
      <c r="V2" s="14" t="s">
        <v>80</v>
      </c>
      <c r="W2" s="15" t="s">
        <v>81</v>
      </c>
    </row>
    <row r="3" spans="2:25">
      <c r="B3" s="62" t="s">
        <v>30</v>
      </c>
      <c r="C3" s="62" t="s">
        <v>364</v>
      </c>
      <c r="D3" s="62" t="s">
        <v>1</v>
      </c>
      <c r="E3" s="81" t="s">
        <v>77</v>
      </c>
      <c r="F3" s="81" t="s">
        <v>75</v>
      </c>
      <c r="G3" s="81" t="s">
        <v>94</v>
      </c>
      <c r="H3" s="81" t="s">
        <v>92</v>
      </c>
      <c r="I3" s="81" t="s">
        <v>90</v>
      </c>
      <c r="J3" s="81" t="s">
        <v>2</v>
      </c>
      <c r="K3" s="81" t="s">
        <v>4</v>
      </c>
      <c r="L3" s="62" t="s">
        <v>41</v>
      </c>
      <c r="M3" s="62" t="s">
        <v>42</v>
      </c>
      <c r="N3" s="62" t="s">
        <v>7</v>
      </c>
      <c r="O3" s="62" t="s">
        <v>29</v>
      </c>
      <c r="P3" s="81" t="s">
        <v>365</v>
      </c>
      <c r="Q3" s="82"/>
      <c r="R3" s="82"/>
      <c r="S3" s="82"/>
      <c r="T3" s="83" t="s">
        <v>67</v>
      </c>
      <c r="U3" s="81" t="s">
        <v>76</v>
      </c>
      <c r="V3" s="81" t="s">
        <v>74</v>
      </c>
      <c r="W3" s="81" t="s">
        <v>74</v>
      </c>
      <c r="X3" s="81"/>
      <c r="Y3" s="84"/>
    </row>
    <row r="4" spans="2:25">
      <c r="B4" s="85">
        <v>1</v>
      </c>
      <c r="C4" s="85" t="s">
        <v>68</v>
      </c>
      <c r="D4" s="85" t="s">
        <v>85</v>
      </c>
      <c r="E4" s="85"/>
      <c r="F4" s="85"/>
      <c r="G4" s="91">
        <v>46022</v>
      </c>
      <c r="H4" s="91">
        <v>46080</v>
      </c>
      <c r="I4" s="91">
        <v>46111</v>
      </c>
      <c r="J4" s="85" t="s">
        <v>86</v>
      </c>
      <c r="K4" s="85"/>
      <c r="L4" s="86">
        <v>1250</v>
      </c>
      <c r="M4" s="87" t="s">
        <v>97</v>
      </c>
      <c r="N4" s="87" t="s">
        <v>97</v>
      </c>
      <c r="O4" s="85"/>
      <c r="P4" s="89" t="s">
        <v>43</v>
      </c>
      <c r="Q4" s="82"/>
      <c r="R4" s="82"/>
      <c r="S4" s="82"/>
      <c r="T4" s="88" t="s">
        <v>68</v>
      </c>
      <c r="U4" s="89" t="s">
        <v>72</v>
      </c>
      <c r="V4" s="89" t="s">
        <v>78</v>
      </c>
      <c r="W4" s="89" t="s">
        <v>83</v>
      </c>
      <c r="X4" s="89"/>
      <c r="Y4" s="90"/>
    </row>
    <row r="5" spans="2:25">
      <c r="B5" s="85">
        <v>2</v>
      </c>
      <c r="C5" s="85" t="s">
        <v>69</v>
      </c>
      <c r="D5" s="85" t="s">
        <v>84</v>
      </c>
      <c r="E5" s="85"/>
      <c r="F5" s="85"/>
      <c r="G5" s="91">
        <v>46112</v>
      </c>
      <c r="H5" s="91"/>
      <c r="I5" s="91"/>
      <c r="J5" s="85" t="s">
        <v>86</v>
      </c>
      <c r="K5" s="85" t="s">
        <v>44</v>
      </c>
      <c r="L5" s="85">
        <v>880</v>
      </c>
      <c r="M5" s="85">
        <v>616</v>
      </c>
      <c r="N5" s="85">
        <v>70</v>
      </c>
      <c r="O5" s="85"/>
      <c r="P5" s="89" t="s">
        <v>43</v>
      </c>
      <c r="Q5" s="82"/>
      <c r="R5" s="82"/>
      <c r="S5" s="82"/>
      <c r="T5" s="88" t="s">
        <v>69</v>
      </c>
      <c r="U5" s="89" t="s">
        <v>73</v>
      </c>
      <c r="V5" s="89" t="s">
        <v>79</v>
      </c>
      <c r="W5" s="89" t="s">
        <v>82</v>
      </c>
      <c r="X5" s="89"/>
      <c r="Y5" s="90"/>
    </row>
    <row r="6" spans="2:25">
      <c r="B6" s="85">
        <v>3</v>
      </c>
      <c r="C6" s="85" t="s">
        <v>70</v>
      </c>
      <c r="D6" s="85" t="s">
        <v>98</v>
      </c>
      <c r="E6" s="85"/>
      <c r="F6" s="85"/>
      <c r="G6" s="91">
        <v>45930</v>
      </c>
      <c r="H6" s="91"/>
      <c r="I6" s="91"/>
      <c r="J6" s="85" t="s">
        <v>86</v>
      </c>
      <c r="K6" s="85"/>
      <c r="L6" s="86">
        <v>2500</v>
      </c>
      <c r="M6" s="86">
        <v>1875</v>
      </c>
      <c r="N6" s="85">
        <v>75</v>
      </c>
      <c r="O6" s="85"/>
      <c r="P6" s="89" t="s">
        <v>43</v>
      </c>
      <c r="Q6" s="82"/>
      <c r="R6" s="82"/>
      <c r="S6" s="82"/>
      <c r="T6" s="88" t="s">
        <v>70</v>
      </c>
      <c r="U6" s="89"/>
      <c r="V6" s="89" t="s">
        <v>12</v>
      </c>
      <c r="W6" s="89" t="s">
        <v>12</v>
      </c>
      <c r="X6" s="89"/>
      <c r="Y6" s="90"/>
    </row>
    <row r="7" spans="2:25">
      <c r="B7" s="85" t="s">
        <v>45</v>
      </c>
      <c r="C7" s="85"/>
      <c r="D7" s="85" t="s">
        <v>45</v>
      </c>
      <c r="E7" s="85"/>
      <c r="F7" s="85"/>
      <c r="G7" s="85" t="s">
        <v>45</v>
      </c>
      <c r="H7" s="85"/>
      <c r="I7" s="85"/>
      <c r="J7" s="85" t="s">
        <v>45</v>
      </c>
      <c r="K7" s="85" t="s">
        <v>45</v>
      </c>
      <c r="L7" s="85" t="s">
        <v>45</v>
      </c>
      <c r="M7" s="85" t="s">
        <v>45</v>
      </c>
      <c r="N7" s="85" t="s">
        <v>45</v>
      </c>
      <c r="O7" s="85"/>
      <c r="P7" s="85" t="s">
        <v>45</v>
      </c>
      <c r="Q7" s="82"/>
      <c r="R7" s="82"/>
      <c r="S7" s="82"/>
      <c r="T7" s="82"/>
      <c r="U7" s="82"/>
      <c r="V7" s="82"/>
      <c r="W7" s="15"/>
      <c r="X7" s="82"/>
      <c r="Y7" s="82"/>
    </row>
    <row r="9" spans="2:25" s="92" customFormat="1" ht="15.6">
      <c r="B9" s="119" t="s">
        <v>341</v>
      </c>
    </row>
    <row r="10" spans="2:25" s="92" customFormat="1" ht="15.6">
      <c r="B10" s="119" t="s">
        <v>339</v>
      </c>
    </row>
    <row r="11" spans="2:25" s="92" customFormat="1" ht="15.6">
      <c r="B11" s="119" t="s">
        <v>340</v>
      </c>
    </row>
    <row r="12" spans="2:25" s="92" customFormat="1" ht="15.6"/>
  </sheetData>
  <phoneticPr fontId="1" type="noConversion"/>
  <dataValidations count="1">
    <dataValidation type="list" allowBlank="1" showInputMessage="1" showErrorMessage="1" sqref="C4:C7" xr:uid="{1157CA5E-63CC-4EFA-AE2A-0DADEB55EA00}">
      <formula1>$T$4:$T$6</formula1>
    </dataValidation>
  </dataValidations>
  <hyperlinks>
    <hyperlink ref="B1" location="정보구조도!A1" display="정보구조도!A1" xr:uid="{332F859F-FAD6-4E2F-A50C-06A9C932E97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2B9C-2C22-4458-AC1A-E03B9AABFCE8}">
  <sheetPr>
    <tabColor theme="9" tint="0.59999389629810485"/>
  </sheetPr>
  <dimension ref="B1:E32"/>
  <sheetViews>
    <sheetView showGridLines="0" zoomScale="85" zoomScaleNormal="85" workbookViewId="0">
      <selection activeCell="D13" sqref="D13"/>
    </sheetView>
  </sheetViews>
  <sheetFormatPr defaultRowHeight="17.399999999999999"/>
  <cols>
    <col min="1" max="1" width="2.69921875" customWidth="1"/>
    <col min="2" max="2" width="15.69921875" bestFit="1" customWidth="1"/>
    <col min="3" max="3" width="18.8984375" customWidth="1"/>
    <col min="4" max="4" width="17.8984375" bestFit="1" customWidth="1"/>
    <col min="5" max="5" width="36.3984375" customWidth="1"/>
    <col min="7" max="7" width="20.59765625" customWidth="1"/>
    <col min="8" max="8" width="25.69921875" customWidth="1"/>
  </cols>
  <sheetData>
    <row r="1" spans="2:5">
      <c r="B1" s="98" t="s">
        <v>303</v>
      </c>
    </row>
    <row r="2" spans="2:5">
      <c r="B2" s="52" t="str" cm="1">
        <f t="array" aca="1" ref="B2" ca="1">MID(CELL("filename",A1),FIND("]",CELL("filename",A1))+1,255)</f>
        <v>C2-(2) Pool 상세정보</v>
      </c>
    </row>
    <row r="3" spans="2:5">
      <c r="B3" s="62" t="s">
        <v>46</v>
      </c>
      <c r="C3" s="62" t="s">
        <v>0</v>
      </c>
      <c r="D3" s="62" t="s">
        <v>47</v>
      </c>
      <c r="E3" s="62" t="s">
        <v>236</v>
      </c>
    </row>
    <row r="4" spans="2:5">
      <c r="B4" s="63" t="s">
        <v>50</v>
      </c>
      <c r="C4" s="63" t="s">
        <v>1</v>
      </c>
      <c r="D4" s="1" t="s">
        <v>9</v>
      </c>
      <c r="E4" s="54" t="s">
        <v>58</v>
      </c>
    </row>
    <row r="5" spans="2:5">
      <c r="B5" s="63" t="s">
        <v>50</v>
      </c>
      <c r="C5" s="63" t="s">
        <v>94</v>
      </c>
      <c r="D5" s="1" t="s">
        <v>24</v>
      </c>
      <c r="E5" s="54" t="s">
        <v>10</v>
      </c>
    </row>
    <row r="6" spans="2:5">
      <c r="B6" s="63" t="s">
        <v>50</v>
      </c>
      <c r="C6" s="63" t="s">
        <v>93</v>
      </c>
      <c r="D6" s="1" t="s">
        <v>24</v>
      </c>
      <c r="E6" s="54" t="s">
        <v>10</v>
      </c>
    </row>
    <row r="7" spans="2:5">
      <c r="B7" s="63" t="s">
        <v>50</v>
      </c>
      <c r="C7" s="63" t="s">
        <v>91</v>
      </c>
      <c r="D7" s="1" t="s">
        <v>24</v>
      </c>
      <c r="E7" s="54" t="s">
        <v>10</v>
      </c>
    </row>
    <row r="8" spans="2:5">
      <c r="B8" s="63" t="s">
        <v>50</v>
      </c>
      <c r="C8" s="63" t="s">
        <v>16</v>
      </c>
      <c r="D8" s="1" t="s">
        <v>18</v>
      </c>
      <c r="E8" s="54" t="s">
        <v>101</v>
      </c>
    </row>
    <row r="9" spans="2:5" ht="18" thickBot="1">
      <c r="B9" s="64" t="s">
        <v>50</v>
      </c>
      <c r="C9" s="64" t="s">
        <v>17</v>
      </c>
      <c r="D9" s="33" t="s">
        <v>9</v>
      </c>
      <c r="E9" s="55" t="s">
        <v>19</v>
      </c>
    </row>
    <row r="10" spans="2:5">
      <c r="B10" s="65" t="s">
        <v>48</v>
      </c>
      <c r="C10" s="65" t="s">
        <v>2</v>
      </c>
      <c r="D10" s="32" t="s">
        <v>26</v>
      </c>
      <c r="E10" s="56" t="s">
        <v>100</v>
      </c>
    </row>
    <row r="11" spans="2:5">
      <c r="B11" s="63" t="s">
        <v>48</v>
      </c>
      <c r="C11" s="63" t="s">
        <v>3</v>
      </c>
      <c r="D11" s="1" t="s">
        <v>9</v>
      </c>
      <c r="E11" s="54"/>
    </row>
    <row r="12" spans="2:5">
      <c r="B12" s="63" t="s">
        <v>48</v>
      </c>
      <c r="C12" s="63" t="s">
        <v>4</v>
      </c>
      <c r="D12" s="1" t="s">
        <v>96</v>
      </c>
      <c r="E12" s="54" t="s">
        <v>99</v>
      </c>
    </row>
    <row r="13" spans="2:5">
      <c r="B13" s="63" t="s">
        <v>48</v>
      </c>
      <c r="C13" s="63" t="s">
        <v>5</v>
      </c>
      <c r="D13" s="1" t="s">
        <v>350</v>
      </c>
      <c r="E13" s="54"/>
    </row>
    <row r="14" spans="2:5" ht="35.4" customHeight="1" thickBot="1">
      <c r="B14" s="140" t="s">
        <v>48</v>
      </c>
      <c r="C14" s="140" t="s">
        <v>376</v>
      </c>
      <c r="D14" s="124" t="s">
        <v>351</v>
      </c>
      <c r="E14" s="125" t="s">
        <v>367</v>
      </c>
    </row>
    <row r="15" spans="2:5">
      <c r="B15" s="121" t="s">
        <v>51</v>
      </c>
      <c r="C15" s="121" t="s">
        <v>77</v>
      </c>
      <c r="D15" s="122" t="s">
        <v>15</v>
      </c>
      <c r="E15" s="123" t="s">
        <v>55</v>
      </c>
    </row>
    <row r="16" spans="2:5" ht="31.8" thickBot="1">
      <c r="B16" s="66" t="s">
        <v>51</v>
      </c>
      <c r="C16" s="66" t="s">
        <v>75</v>
      </c>
      <c r="D16" s="33" t="s">
        <v>57</v>
      </c>
      <c r="E16" s="55" t="s">
        <v>56</v>
      </c>
    </row>
    <row r="17" spans="2:5">
      <c r="B17" s="132" t="s">
        <v>52</v>
      </c>
      <c r="C17" s="132" t="s">
        <v>347</v>
      </c>
      <c r="D17" s="133" t="s">
        <v>349</v>
      </c>
      <c r="E17" s="134" t="s">
        <v>348</v>
      </c>
    </row>
    <row r="18" spans="2:5">
      <c r="B18" s="63" t="s">
        <v>53</v>
      </c>
      <c r="C18" s="63" t="s">
        <v>13</v>
      </c>
      <c r="D18" s="1" t="s">
        <v>9</v>
      </c>
      <c r="E18" s="54"/>
    </row>
    <row r="19" spans="2:5">
      <c r="B19" s="63" t="s">
        <v>53</v>
      </c>
      <c r="C19" s="63" t="s">
        <v>14</v>
      </c>
      <c r="D19" s="1" t="s">
        <v>9</v>
      </c>
      <c r="E19" s="54"/>
    </row>
    <row r="20" spans="2:5" ht="35.4" customHeight="1">
      <c r="B20" s="130" t="s">
        <v>53</v>
      </c>
      <c r="C20" s="130" t="s">
        <v>20</v>
      </c>
      <c r="D20" s="1" t="s">
        <v>9</v>
      </c>
      <c r="E20" s="54" t="s">
        <v>366</v>
      </c>
    </row>
    <row r="21" spans="2:5" ht="18" thickBot="1">
      <c r="B21" s="131" t="s">
        <v>53</v>
      </c>
      <c r="C21" s="131" t="s">
        <v>354</v>
      </c>
      <c r="D21" s="122" t="s">
        <v>21</v>
      </c>
      <c r="E21" s="123" t="s">
        <v>11</v>
      </c>
    </row>
    <row r="22" spans="2:5">
      <c r="B22" s="135" t="s">
        <v>54</v>
      </c>
      <c r="C22" s="135" t="s">
        <v>6</v>
      </c>
      <c r="D22" s="136" t="s">
        <v>22</v>
      </c>
      <c r="E22" s="137" t="s">
        <v>11</v>
      </c>
    </row>
    <row r="23" spans="2:5" ht="18" thickBot="1">
      <c r="B23" s="64" t="s">
        <v>54</v>
      </c>
      <c r="C23" s="64" t="s">
        <v>7</v>
      </c>
      <c r="D23" s="34">
        <v>0.8</v>
      </c>
      <c r="E23" s="57" t="s">
        <v>23</v>
      </c>
    </row>
    <row r="24" spans="2:5">
      <c r="B24" s="132" t="s">
        <v>356</v>
      </c>
      <c r="C24" s="132" t="s">
        <v>353</v>
      </c>
      <c r="D24" s="133" t="s">
        <v>360</v>
      </c>
      <c r="E24" s="134" t="s">
        <v>352</v>
      </c>
    </row>
    <row r="25" spans="2:5">
      <c r="B25" s="138" t="s">
        <v>355</v>
      </c>
      <c r="C25" s="138" t="s">
        <v>368</v>
      </c>
      <c r="D25" s="139" t="s">
        <v>9</v>
      </c>
      <c r="E25" s="128" t="s">
        <v>358</v>
      </c>
    </row>
    <row r="26" spans="2:5">
      <c r="B26" s="138" t="s">
        <v>355</v>
      </c>
      <c r="C26" s="138" t="s">
        <v>369</v>
      </c>
      <c r="D26" s="139" t="s">
        <v>9</v>
      </c>
      <c r="E26" s="128" t="s">
        <v>357</v>
      </c>
    </row>
    <row r="27" spans="2:5" ht="18" thickBot="1">
      <c r="B27" s="129" t="s">
        <v>355</v>
      </c>
      <c r="C27" s="129" t="s">
        <v>370</v>
      </c>
      <c r="D27" s="124" t="s">
        <v>359</v>
      </c>
      <c r="E27" s="125" t="s">
        <v>357</v>
      </c>
    </row>
    <row r="28" spans="2:5">
      <c r="B28" s="65" t="s">
        <v>49</v>
      </c>
      <c r="C28" s="65" t="s">
        <v>8</v>
      </c>
      <c r="D28" s="32" t="s">
        <v>9</v>
      </c>
      <c r="E28" s="56"/>
    </row>
    <row r="29" spans="2:5">
      <c r="B29" s="63" t="s">
        <v>49</v>
      </c>
      <c r="C29" s="63" t="s">
        <v>89</v>
      </c>
      <c r="D29" s="13" t="s">
        <v>64</v>
      </c>
      <c r="E29" s="54" t="s">
        <v>95</v>
      </c>
    </row>
    <row r="30" spans="2:5">
      <c r="B30" s="63" t="s">
        <v>49</v>
      </c>
      <c r="C30" s="63" t="s">
        <v>88</v>
      </c>
      <c r="D30" s="13" t="s">
        <v>64</v>
      </c>
      <c r="E30" s="54" t="s">
        <v>95</v>
      </c>
    </row>
    <row r="31" spans="2:5">
      <c r="B31" s="126" t="s">
        <v>49</v>
      </c>
      <c r="C31" s="126" t="s">
        <v>363</v>
      </c>
      <c r="D31" s="127" t="s">
        <v>64</v>
      </c>
      <c r="E31" s="128" t="s">
        <v>95</v>
      </c>
    </row>
    <row r="32" spans="2:5" ht="18" thickBot="1">
      <c r="B32" s="64" t="s">
        <v>49</v>
      </c>
      <c r="C32" s="64" t="s">
        <v>102</v>
      </c>
      <c r="D32" s="35" t="s">
        <v>64</v>
      </c>
      <c r="E32" s="55" t="s">
        <v>95</v>
      </c>
    </row>
  </sheetData>
  <phoneticPr fontId="1" type="noConversion"/>
  <hyperlinks>
    <hyperlink ref="B1" location="정보구조도!A1" display="정보구조도!A1" xr:uid="{AD2A59DD-C365-472B-958F-1E168BD79ADA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109F-437E-471E-A271-9512B45D9D26}">
  <sheetPr>
    <tabColor theme="9" tint="0.79998168889431442"/>
  </sheetPr>
  <dimension ref="B1:I7"/>
  <sheetViews>
    <sheetView showGridLines="0" zoomScale="85" zoomScaleNormal="85" workbookViewId="0"/>
  </sheetViews>
  <sheetFormatPr defaultRowHeight="17.399999999999999"/>
  <cols>
    <col min="1" max="1" width="2.69921875" customWidth="1"/>
    <col min="2" max="2" width="3.8984375" bestFit="1" customWidth="1"/>
    <col min="3" max="3" width="26.796875" customWidth="1"/>
    <col min="4" max="4" width="15.69921875" customWidth="1"/>
    <col min="5" max="5" width="9.296875" bestFit="1" customWidth="1"/>
    <col min="6" max="6" width="52.69921875" customWidth="1"/>
    <col min="7" max="7" width="8.19921875" bestFit="1" customWidth="1"/>
    <col min="8" max="8" width="8.19921875" customWidth="1"/>
    <col min="9" max="9" width="18.5" customWidth="1"/>
  </cols>
  <sheetData>
    <row r="1" spans="2:9">
      <c r="B1" s="98" t="s">
        <v>303</v>
      </c>
    </row>
    <row r="2" spans="2:9">
      <c r="B2" s="52" t="str" cm="1">
        <f t="array" aca="1" ref="B2" ca="1">MID(CELL("filename",A1),FIND("]",CELL("filename",A1))+1,255)</f>
        <v>C3-(2) 거래자료 등록-매도인</v>
      </c>
      <c r="E2" s="15"/>
      <c r="I2" s="14"/>
    </row>
    <row r="3" spans="2:9">
      <c r="B3" s="10" t="s">
        <v>30</v>
      </c>
      <c r="C3" s="10" t="s">
        <v>1</v>
      </c>
      <c r="D3" s="10" t="s">
        <v>226</v>
      </c>
      <c r="E3" s="10" t="s">
        <v>62</v>
      </c>
      <c r="F3" s="10" t="s">
        <v>59</v>
      </c>
      <c r="G3" s="67" t="s">
        <v>60</v>
      </c>
      <c r="H3" s="67" t="s">
        <v>224</v>
      </c>
      <c r="I3" s="67" t="s">
        <v>61</v>
      </c>
    </row>
    <row r="4" spans="2:9">
      <c r="B4" s="11">
        <v>1</v>
      </c>
      <c r="C4" s="1" t="s">
        <v>63</v>
      </c>
      <c r="D4" s="11" t="s">
        <v>86</v>
      </c>
      <c r="E4" s="11" t="s">
        <v>65</v>
      </c>
      <c r="F4" s="12" t="s">
        <v>103</v>
      </c>
      <c r="G4" s="13" t="s">
        <v>64</v>
      </c>
      <c r="H4" s="68" t="s">
        <v>225</v>
      </c>
      <c r="I4" s="95">
        <v>46037</v>
      </c>
    </row>
    <row r="5" spans="2:9">
      <c r="B5" s="11">
        <v>2</v>
      </c>
      <c r="C5" s="1" t="s">
        <v>63</v>
      </c>
      <c r="D5" s="11" t="s">
        <v>86</v>
      </c>
      <c r="E5" s="11" t="s">
        <v>65</v>
      </c>
      <c r="F5" s="12" t="s">
        <v>104</v>
      </c>
      <c r="G5" s="13" t="s">
        <v>64</v>
      </c>
      <c r="H5" s="68" t="s">
        <v>225</v>
      </c>
      <c r="I5" s="95">
        <v>46037</v>
      </c>
    </row>
    <row r="6" spans="2:9">
      <c r="B6" s="11">
        <v>3</v>
      </c>
      <c r="C6" s="11"/>
      <c r="D6" s="11"/>
      <c r="E6" s="11"/>
      <c r="F6" s="12"/>
      <c r="G6" s="12"/>
      <c r="H6" s="12"/>
      <c r="I6" s="11"/>
    </row>
    <row r="7" spans="2:9">
      <c r="B7" s="11" t="s">
        <v>45</v>
      </c>
      <c r="C7" s="11" t="s">
        <v>45</v>
      </c>
      <c r="D7" s="11" t="s">
        <v>45</v>
      </c>
      <c r="E7" s="11"/>
      <c r="F7" s="11" t="s">
        <v>45</v>
      </c>
      <c r="G7" s="11" t="s">
        <v>45</v>
      </c>
      <c r="H7" s="11"/>
      <c r="I7" s="11" t="s">
        <v>45</v>
      </c>
    </row>
  </sheetData>
  <phoneticPr fontId="1" type="noConversion"/>
  <hyperlinks>
    <hyperlink ref="B1" location="정보구조도!A1" display="정보구조도!A1" xr:uid="{299A5CD8-8984-4E8D-900D-469B199FF1C2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7607-ADAD-43F5-874F-37D0BE6B2E1A}">
  <sheetPr>
    <tabColor theme="9" tint="0.79998168889431442"/>
  </sheetPr>
  <dimension ref="B1:I7"/>
  <sheetViews>
    <sheetView showGridLines="0" zoomScale="85" zoomScaleNormal="85" workbookViewId="0"/>
  </sheetViews>
  <sheetFormatPr defaultRowHeight="17.399999999999999"/>
  <cols>
    <col min="1" max="1" width="2.69921875" customWidth="1"/>
    <col min="2" max="2" width="3.8984375" bestFit="1" customWidth="1"/>
    <col min="3" max="3" width="26.796875" customWidth="1"/>
    <col min="4" max="4" width="15.69921875" customWidth="1"/>
    <col min="5" max="5" width="9.296875" bestFit="1" customWidth="1"/>
    <col min="6" max="6" width="52.69921875" customWidth="1"/>
    <col min="7" max="7" width="8.19921875" bestFit="1" customWidth="1"/>
    <col min="8" max="8" width="8.19921875" customWidth="1"/>
    <col min="9" max="9" width="18.5" customWidth="1"/>
  </cols>
  <sheetData>
    <row r="1" spans="2:9">
      <c r="B1" s="98" t="s">
        <v>303</v>
      </c>
    </row>
    <row r="2" spans="2:9">
      <c r="B2" s="52" t="str" cm="1">
        <f t="array" aca="1" ref="B2" ca="1">MID(CELL("filename",A1),FIND("]",CELL("filename",A1))+1,255)</f>
        <v>C3-(2) 거래자료 등록-매수인</v>
      </c>
      <c r="E2" s="15"/>
      <c r="I2" s="14"/>
    </row>
    <row r="3" spans="2:9">
      <c r="B3" s="10" t="s">
        <v>30</v>
      </c>
      <c r="C3" s="10" t="s">
        <v>1</v>
      </c>
      <c r="D3" s="10" t="s">
        <v>226</v>
      </c>
      <c r="E3" s="10" t="s">
        <v>62</v>
      </c>
      <c r="F3" s="10" t="s">
        <v>59</v>
      </c>
      <c r="G3" s="67" t="s">
        <v>60</v>
      </c>
      <c r="H3" s="67" t="s">
        <v>224</v>
      </c>
      <c r="I3" s="67" t="s">
        <v>61</v>
      </c>
    </row>
    <row r="4" spans="2:9">
      <c r="B4" s="11">
        <v>1</v>
      </c>
      <c r="C4" s="1" t="s">
        <v>63</v>
      </c>
      <c r="D4" s="11" t="s">
        <v>227</v>
      </c>
      <c r="E4" s="11" t="s">
        <v>65</v>
      </c>
      <c r="F4" s="12" t="s">
        <v>230</v>
      </c>
      <c r="G4" s="13" t="s">
        <v>64</v>
      </c>
      <c r="H4" s="68" t="s">
        <v>225</v>
      </c>
      <c r="I4" s="95">
        <v>46037</v>
      </c>
    </row>
    <row r="5" spans="2:9">
      <c r="B5" s="11">
        <v>2</v>
      </c>
      <c r="C5" s="1" t="s">
        <v>63</v>
      </c>
      <c r="D5" s="11" t="s">
        <v>227</v>
      </c>
      <c r="E5" s="11" t="s">
        <v>65</v>
      </c>
      <c r="F5" s="12" t="s">
        <v>229</v>
      </c>
      <c r="G5" s="13" t="s">
        <v>64</v>
      </c>
      <c r="H5" s="68" t="s">
        <v>225</v>
      </c>
      <c r="I5" s="95">
        <v>46037</v>
      </c>
    </row>
    <row r="6" spans="2:9">
      <c r="B6" s="11">
        <v>3</v>
      </c>
      <c r="C6" s="11"/>
      <c r="D6" s="11"/>
      <c r="E6" s="11"/>
      <c r="F6" s="12"/>
      <c r="G6" s="12"/>
      <c r="H6" s="12"/>
      <c r="I6" s="11"/>
    </row>
    <row r="7" spans="2:9">
      <c r="B7" s="11" t="s">
        <v>45</v>
      </c>
      <c r="C7" s="11" t="s">
        <v>45</v>
      </c>
      <c r="D7" s="11" t="s">
        <v>45</v>
      </c>
      <c r="E7" s="11"/>
      <c r="F7" s="11" t="s">
        <v>45</v>
      </c>
      <c r="G7" s="11" t="s">
        <v>45</v>
      </c>
      <c r="H7" s="11"/>
      <c r="I7" s="11" t="s">
        <v>45</v>
      </c>
    </row>
  </sheetData>
  <phoneticPr fontId="1" type="noConversion"/>
  <hyperlinks>
    <hyperlink ref="B1" location="정보구조도!A1" display="정보구조도!A1" xr:uid="{87CE29A4-E6F6-480B-949B-6D68E8C5F961}"/>
  </hyperlink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E8FA-1ECD-4F6A-80CA-9E291CFC1982}">
  <sheetPr>
    <tabColor theme="9" tint="0.79998168889431442"/>
  </sheetPr>
  <dimension ref="B1:I7"/>
  <sheetViews>
    <sheetView showGridLines="0" zoomScale="85" zoomScaleNormal="85" workbookViewId="0"/>
  </sheetViews>
  <sheetFormatPr defaultRowHeight="17.399999999999999"/>
  <cols>
    <col min="1" max="1" width="2.69921875" customWidth="1"/>
    <col min="2" max="2" width="3.8984375" bestFit="1" customWidth="1"/>
    <col min="3" max="3" width="26.796875" customWidth="1"/>
    <col min="4" max="4" width="15.69921875" customWidth="1"/>
    <col min="5" max="5" width="9.296875" bestFit="1" customWidth="1"/>
    <col min="6" max="6" width="52.69921875" customWidth="1"/>
    <col min="7" max="7" width="8.19921875" bestFit="1" customWidth="1"/>
    <col min="8" max="8" width="8.19921875" customWidth="1"/>
    <col min="9" max="9" width="18.5" customWidth="1"/>
  </cols>
  <sheetData>
    <row r="1" spans="2:9">
      <c r="B1" s="98" t="s">
        <v>303</v>
      </c>
    </row>
    <row r="2" spans="2:9">
      <c r="B2" s="52" t="str" cm="1">
        <f t="array" aca="1" ref="B2" ca="1">MID(CELL("filename",A1),FIND("]",CELL("filename",A1))+1,255)</f>
        <v>C3-(2) 매각자료 등록-회계법인</v>
      </c>
      <c r="E2" s="15"/>
      <c r="I2" s="14"/>
    </row>
    <row r="3" spans="2:9">
      <c r="B3" s="10" t="s">
        <v>30</v>
      </c>
      <c r="C3" s="10" t="s">
        <v>1</v>
      </c>
      <c r="D3" s="10" t="s">
        <v>226</v>
      </c>
      <c r="E3" s="10" t="s">
        <v>62</v>
      </c>
      <c r="F3" s="10" t="s">
        <v>59</v>
      </c>
      <c r="G3" s="67" t="s">
        <v>60</v>
      </c>
      <c r="H3" s="67" t="s">
        <v>224</v>
      </c>
      <c r="I3" s="67" t="s">
        <v>61</v>
      </c>
    </row>
    <row r="4" spans="2:9">
      <c r="B4" s="11">
        <v>1</v>
      </c>
      <c r="C4" s="1" t="s">
        <v>63</v>
      </c>
      <c r="D4" s="11" t="s">
        <v>228</v>
      </c>
      <c r="E4" s="11" t="s">
        <v>65</v>
      </c>
      <c r="F4" s="12" t="s">
        <v>105</v>
      </c>
      <c r="G4" s="13" t="s">
        <v>64</v>
      </c>
      <c r="H4" s="68" t="s">
        <v>225</v>
      </c>
      <c r="I4" s="95">
        <v>46037</v>
      </c>
    </row>
    <row r="5" spans="2:9">
      <c r="B5" s="11">
        <v>2</v>
      </c>
      <c r="C5" s="1" t="s">
        <v>63</v>
      </c>
      <c r="D5" s="11" t="s">
        <v>228</v>
      </c>
      <c r="E5" s="11" t="s">
        <v>65</v>
      </c>
      <c r="F5" s="12" t="s">
        <v>106</v>
      </c>
      <c r="G5" s="13" t="s">
        <v>64</v>
      </c>
      <c r="H5" s="68" t="s">
        <v>225</v>
      </c>
      <c r="I5" s="95">
        <v>46037</v>
      </c>
    </row>
    <row r="6" spans="2:9">
      <c r="B6" s="11">
        <v>3</v>
      </c>
      <c r="C6" s="1" t="s">
        <v>63</v>
      </c>
      <c r="D6" s="11" t="s">
        <v>228</v>
      </c>
      <c r="E6" s="11" t="s">
        <v>65</v>
      </c>
      <c r="F6" s="12" t="s">
        <v>107</v>
      </c>
      <c r="G6" s="13" t="s">
        <v>64</v>
      </c>
      <c r="H6" s="12"/>
      <c r="I6" s="95">
        <v>46037</v>
      </c>
    </row>
    <row r="7" spans="2:9">
      <c r="B7" s="11" t="s">
        <v>45</v>
      </c>
      <c r="C7" s="11" t="s">
        <v>45</v>
      </c>
      <c r="D7" s="11" t="s">
        <v>45</v>
      </c>
      <c r="E7" s="11"/>
      <c r="F7" s="11" t="s">
        <v>45</v>
      </c>
      <c r="G7" s="11" t="s">
        <v>45</v>
      </c>
      <c r="H7" s="11"/>
      <c r="I7" s="11" t="s">
        <v>45</v>
      </c>
    </row>
  </sheetData>
  <phoneticPr fontId="1" type="noConversion"/>
  <hyperlinks>
    <hyperlink ref="B1" location="정보구조도!A1" display="정보구조도!A1" xr:uid="{D75C32A8-D38D-47BA-99B6-C0C8D5983BBF}"/>
  </hyperlink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D9C6-BE46-4D2E-9F8C-A35DD73C6FA1}">
  <sheetPr>
    <tabColor theme="7" tint="0.79998168889431442"/>
  </sheetPr>
  <dimension ref="B1:D15"/>
  <sheetViews>
    <sheetView showGridLines="0" zoomScale="85" zoomScaleNormal="85" workbookViewId="0"/>
  </sheetViews>
  <sheetFormatPr defaultRowHeight="17.399999999999999"/>
  <cols>
    <col min="1" max="1" width="2.69921875" customWidth="1"/>
    <col min="2" max="2" width="3.8984375" bestFit="1" customWidth="1"/>
    <col min="3" max="3" width="29" bestFit="1" customWidth="1"/>
    <col min="4" max="4" width="55.59765625" customWidth="1"/>
  </cols>
  <sheetData>
    <row r="1" spans="2:4">
      <c r="B1" s="110" t="s">
        <v>303</v>
      </c>
      <c r="C1" s="111"/>
      <c r="D1" s="111"/>
    </row>
    <row r="2" spans="2:4">
      <c r="B2" s="52" t="str" cm="1">
        <f t="array" aca="1" ref="B2" ca="1">MID(CELL("filename",A1),FIND("]",CELL("filename",A1))+1,255)</f>
        <v>D2-(1) 용어 사전</v>
      </c>
      <c r="C2" s="111"/>
      <c r="D2" s="111"/>
    </row>
    <row r="3" spans="2:4">
      <c r="B3" s="112" t="s">
        <v>30</v>
      </c>
      <c r="C3" s="114" t="s">
        <v>306</v>
      </c>
      <c r="D3" s="114" t="s">
        <v>307</v>
      </c>
    </row>
    <row r="4" spans="2:4" ht="31.2">
      <c r="B4" s="113">
        <v>1</v>
      </c>
      <c r="C4" s="54" t="s">
        <v>317</v>
      </c>
      <c r="D4" s="54" t="s">
        <v>325</v>
      </c>
    </row>
    <row r="5" spans="2:4" ht="31.2">
      <c r="B5" s="113">
        <v>2</v>
      </c>
      <c r="C5" s="54" t="s">
        <v>328</v>
      </c>
      <c r="D5" s="54" t="s">
        <v>314</v>
      </c>
    </row>
    <row r="6" spans="2:4">
      <c r="B6" s="113">
        <v>3</v>
      </c>
      <c r="C6" s="54" t="s">
        <v>308</v>
      </c>
      <c r="D6" s="54" t="s">
        <v>319</v>
      </c>
    </row>
    <row r="7" spans="2:4" ht="31.2">
      <c r="B7" s="113">
        <v>4</v>
      </c>
      <c r="C7" s="54" t="s">
        <v>311</v>
      </c>
      <c r="D7" s="54" t="s">
        <v>327</v>
      </c>
    </row>
    <row r="8" spans="2:4" ht="31.2">
      <c r="B8" s="113">
        <v>5</v>
      </c>
      <c r="C8" s="54" t="s">
        <v>315</v>
      </c>
      <c r="D8" s="54" t="s">
        <v>316</v>
      </c>
    </row>
    <row r="9" spans="2:4" ht="31.2">
      <c r="B9" s="113">
        <v>6</v>
      </c>
      <c r="C9" s="54" t="s">
        <v>320</v>
      </c>
      <c r="D9" s="54" t="s">
        <v>326</v>
      </c>
    </row>
    <row r="10" spans="2:4" ht="31.2">
      <c r="B10" s="113">
        <v>7</v>
      </c>
      <c r="C10" s="54" t="s">
        <v>322</v>
      </c>
      <c r="D10" s="54" t="s">
        <v>313</v>
      </c>
    </row>
    <row r="11" spans="2:4" ht="31.2">
      <c r="B11" s="113">
        <v>8</v>
      </c>
      <c r="C11" s="54" t="s">
        <v>309</v>
      </c>
      <c r="D11" s="54" t="s">
        <v>310</v>
      </c>
    </row>
    <row r="12" spans="2:4" ht="31.2">
      <c r="B12" s="113">
        <v>9</v>
      </c>
      <c r="C12" s="54" t="s">
        <v>88</v>
      </c>
      <c r="D12" s="54" t="s">
        <v>324</v>
      </c>
    </row>
    <row r="13" spans="2:4" ht="46.8">
      <c r="B13" s="113">
        <v>10</v>
      </c>
      <c r="C13" s="54" t="s">
        <v>321</v>
      </c>
      <c r="D13" s="54" t="s">
        <v>312</v>
      </c>
    </row>
    <row r="14" spans="2:4" ht="31.2">
      <c r="B14" s="113">
        <v>11</v>
      </c>
      <c r="C14" s="54" t="s">
        <v>318</v>
      </c>
      <c r="D14" s="54" t="s">
        <v>323</v>
      </c>
    </row>
    <row r="15" spans="2:4">
      <c r="B15" s="113" t="s">
        <v>45</v>
      </c>
      <c r="C15" s="113" t="s">
        <v>45</v>
      </c>
      <c r="D15" s="113" t="s">
        <v>45</v>
      </c>
    </row>
  </sheetData>
  <phoneticPr fontId="1" type="noConversion"/>
  <hyperlinks>
    <hyperlink ref="B1" location="정보구조도!A1" display="정보구조도!A1" xr:uid="{CDFBAE63-AA10-4628-A33F-8B77D156777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70B1-23CE-49BE-AA6B-C7043DF2E263}">
  <sheetPr>
    <tabColor theme="5" tint="0.79998168889431442"/>
  </sheetPr>
  <dimension ref="A1:C47"/>
  <sheetViews>
    <sheetView showGridLines="0" zoomScale="85" zoomScaleNormal="85" workbookViewId="0"/>
  </sheetViews>
  <sheetFormatPr defaultRowHeight="17.399999999999999"/>
  <cols>
    <col min="1" max="1" width="2.69921875" style="53" customWidth="1"/>
    <col min="2" max="2" width="19.3984375" style="53" bestFit="1" customWidth="1"/>
    <col min="3" max="3" width="24" style="53" bestFit="1" customWidth="1"/>
    <col min="4" max="4" width="17.8984375" style="53" bestFit="1" customWidth="1"/>
    <col min="5" max="5" width="18.796875" style="53" customWidth="1"/>
    <col min="6" max="6" width="18.09765625" style="53" bestFit="1" customWidth="1"/>
    <col min="7" max="7" width="20.59765625" style="53" customWidth="1"/>
    <col min="8" max="8" width="25.69921875" style="53" customWidth="1"/>
    <col min="9" max="16384" width="8.796875" style="53"/>
  </cols>
  <sheetData>
    <row r="1" spans="1:3">
      <c r="A1"/>
      <c r="B1" s="98" t="s">
        <v>303</v>
      </c>
    </row>
    <row r="2" spans="1:3">
      <c r="B2" s="52" t="str" cm="1">
        <f t="array" aca="1" ref="B2" ca="1">MID(CELL("filename",A1),FIND("]",CELL("filename",A1))+1,255)</f>
        <v>X 회원가입</v>
      </c>
    </row>
    <row r="3" spans="1:3">
      <c r="B3" s="52"/>
    </row>
    <row r="4" spans="1:3" s="100" customFormat="1" ht="15.6">
      <c r="B4" s="101" t="s">
        <v>207</v>
      </c>
    </row>
    <row r="5" spans="1:3" s="100" customFormat="1" ht="15.6">
      <c r="B5" s="102" t="s">
        <v>66</v>
      </c>
      <c r="C5" s="102" t="s">
        <v>205</v>
      </c>
    </row>
    <row r="6" spans="1:3" s="100" customFormat="1" ht="15.6">
      <c r="B6" s="103" t="s">
        <v>198</v>
      </c>
      <c r="C6" s="103" t="s">
        <v>206</v>
      </c>
    </row>
    <row r="7" spans="1:3" s="100" customFormat="1" ht="15.6">
      <c r="B7" s="103" t="s">
        <v>200</v>
      </c>
      <c r="C7" s="103"/>
    </row>
    <row r="8" spans="1:3" s="100" customFormat="1" ht="15.6">
      <c r="B8" s="103" t="s">
        <v>201</v>
      </c>
      <c r="C8" s="103"/>
    </row>
    <row r="9" spans="1:3" s="100" customFormat="1" ht="15.6">
      <c r="B9" s="103" t="s">
        <v>214</v>
      </c>
      <c r="C9" s="103"/>
    </row>
    <row r="10" spans="1:3" s="100" customFormat="1" ht="15.6">
      <c r="B10" s="103" t="s">
        <v>215</v>
      </c>
      <c r="C10" s="103"/>
    </row>
    <row r="11" spans="1:3" s="100" customFormat="1" ht="15.6">
      <c r="B11" s="103" t="s">
        <v>176</v>
      </c>
      <c r="C11" s="103"/>
    </row>
    <row r="12" spans="1:3" s="100" customFormat="1" ht="15.6">
      <c r="B12" s="103" t="s">
        <v>177</v>
      </c>
      <c r="C12" s="103"/>
    </row>
    <row r="13" spans="1:3" s="100" customFormat="1" ht="15.6">
      <c r="B13" s="103" t="s">
        <v>216</v>
      </c>
      <c r="C13" s="103"/>
    </row>
    <row r="14" spans="1:3" s="100" customFormat="1" ht="15.6">
      <c r="B14" s="103" t="s">
        <v>202</v>
      </c>
      <c r="C14" s="103" t="s">
        <v>203</v>
      </c>
    </row>
    <row r="15" spans="1:3" s="100" customFormat="1" ht="15.6">
      <c r="B15" s="103" t="s">
        <v>204</v>
      </c>
      <c r="C15" s="103"/>
    </row>
    <row r="16" spans="1:3" s="100" customFormat="1" ht="15.6"/>
    <row r="17" spans="2:3" s="100" customFormat="1" ht="15.6"/>
    <row r="18" spans="2:3" s="100" customFormat="1" ht="15.6">
      <c r="B18" s="101" t="s">
        <v>208</v>
      </c>
    </row>
    <row r="19" spans="2:3" s="100" customFormat="1" ht="15.6">
      <c r="B19" s="102" t="s">
        <v>66</v>
      </c>
      <c r="C19" s="102" t="s">
        <v>205</v>
      </c>
    </row>
    <row r="20" spans="2:3" s="100" customFormat="1" ht="15.6">
      <c r="B20" s="103" t="s">
        <v>209</v>
      </c>
      <c r="C20" s="103" t="s">
        <v>55</v>
      </c>
    </row>
    <row r="21" spans="2:3" s="100" customFormat="1" ht="15.6">
      <c r="B21" s="103" t="s">
        <v>217</v>
      </c>
      <c r="C21" s="103"/>
    </row>
    <row r="22" spans="2:3" s="100" customFormat="1" ht="15.6"/>
    <row r="23" spans="2:3" s="100" customFormat="1" ht="15.6"/>
    <row r="24" spans="2:3" s="100" customFormat="1" ht="15.6">
      <c r="B24" s="101" t="s">
        <v>210</v>
      </c>
    </row>
    <row r="25" spans="2:3" s="100" customFormat="1" ht="15.6">
      <c r="B25" s="100" t="s">
        <v>211</v>
      </c>
    </row>
    <row r="26" spans="2:3" s="100" customFormat="1" ht="15.6">
      <c r="B26" s="100" t="s">
        <v>212</v>
      </c>
    </row>
    <row r="27" spans="2:3" s="100" customFormat="1" ht="15.6">
      <c r="B27" s="100" t="s">
        <v>213</v>
      </c>
    </row>
    <row r="28" spans="2:3" s="100" customFormat="1" ht="15.6"/>
    <row r="29" spans="2:3" s="100" customFormat="1" ht="15.6"/>
    <row r="30" spans="2:3" s="100" customFormat="1" ht="15.6"/>
    <row r="31" spans="2:3" s="100" customFormat="1" ht="15.6"/>
    <row r="32" spans="2:3" s="100" customFormat="1" ht="15.6"/>
    <row r="33" s="100" customFormat="1" ht="15.6"/>
    <row r="34" s="100" customFormat="1" ht="15.6"/>
    <row r="35" s="100" customFormat="1" ht="15.6"/>
    <row r="36" s="100" customFormat="1" ht="15.6"/>
    <row r="37" s="100" customFormat="1" ht="15.6"/>
    <row r="38" s="100" customFormat="1" ht="15.6"/>
    <row r="39" s="100" customFormat="1" ht="15.6"/>
    <row r="40" s="100" customFormat="1" ht="15.6"/>
    <row r="41" s="100" customFormat="1" ht="15.6"/>
    <row r="42" s="100" customFormat="1" ht="15.6"/>
    <row r="43" s="100" customFormat="1" ht="15.6"/>
    <row r="44" s="100" customFormat="1" ht="15.6"/>
    <row r="45" s="100" customFormat="1" ht="15.6"/>
    <row r="46" s="100" customFormat="1" ht="15.6"/>
    <row r="47" s="100" customFormat="1" ht="15.6"/>
  </sheetData>
  <phoneticPr fontId="1" type="noConversion"/>
  <hyperlinks>
    <hyperlink ref="B1" location="정보구조도!A1" display="정보구조도!A1" xr:uid="{F016B151-DDCC-43EA-B27D-35CD7966C7BF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3F86-1C57-4B3A-9BB0-642AACA5A481}">
  <sheetPr>
    <tabColor theme="5" tint="0.79998168889431442"/>
  </sheetPr>
  <dimension ref="A1:G42"/>
  <sheetViews>
    <sheetView showGridLines="0" zoomScale="85" zoomScaleNormal="85" workbookViewId="0"/>
  </sheetViews>
  <sheetFormatPr defaultRowHeight="17.399999999999999"/>
  <cols>
    <col min="1" max="1" width="2.69921875" style="53" customWidth="1"/>
    <col min="2" max="2" width="15.69921875" style="53" bestFit="1" customWidth="1"/>
    <col min="3" max="3" width="20.09765625" style="53" bestFit="1" customWidth="1"/>
    <col min="4" max="4" width="17.8984375" style="53" bestFit="1" customWidth="1"/>
    <col min="5" max="5" width="18.796875" style="53" customWidth="1"/>
    <col min="6" max="6" width="18.09765625" style="53" bestFit="1" customWidth="1"/>
    <col min="7" max="7" width="20.59765625" style="53" customWidth="1"/>
    <col min="8" max="8" width="25.69921875" style="53" customWidth="1"/>
    <col min="9" max="16384" width="8.796875" style="53"/>
  </cols>
  <sheetData>
    <row r="1" spans="1:7">
      <c r="A1"/>
      <c r="B1" s="98" t="s">
        <v>303</v>
      </c>
    </row>
    <row r="2" spans="1:7">
      <c r="B2" s="52" t="str" cm="1">
        <f t="array" aca="1" ref="B2" ca="1">MID(CELL("filename",A1),FIND("]",CELL("filename",A1))+1,255)</f>
        <v>Y 마이페이지</v>
      </c>
    </row>
    <row r="3" spans="1:7">
      <c r="B3" s="52"/>
    </row>
    <row r="4" spans="1:7" s="100" customFormat="1" ht="15.6">
      <c r="B4" s="101" t="s">
        <v>184</v>
      </c>
    </row>
    <row r="5" spans="1:7" s="100" customFormat="1" ht="15.6">
      <c r="B5" s="102" t="s">
        <v>66</v>
      </c>
      <c r="C5" s="102" t="s">
        <v>47</v>
      </c>
      <c r="D5" s="102" t="s">
        <v>46</v>
      </c>
      <c r="E5" s="102" t="s">
        <v>47</v>
      </c>
      <c r="F5" s="102" t="s">
        <v>46</v>
      </c>
      <c r="G5" s="102" t="s">
        <v>47</v>
      </c>
    </row>
    <row r="6" spans="1:7" s="100" customFormat="1" ht="15.6">
      <c r="B6" s="104" t="s">
        <v>189</v>
      </c>
      <c r="C6" s="105" t="s">
        <v>86</v>
      </c>
      <c r="D6" s="104" t="s">
        <v>167</v>
      </c>
      <c r="E6" s="105" t="s">
        <v>65</v>
      </c>
      <c r="F6" s="104" t="s">
        <v>168</v>
      </c>
      <c r="G6" s="105" t="s">
        <v>183</v>
      </c>
    </row>
    <row r="7" spans="1:7" s="100" customFormat="1" ht="15.6">
      <c r="B7" s="104" t="s">
        <v>169</v>
      </c>
      <c r="C7" s="105" t="s">
        <v>188</v>
      </c>
      <c r="D7" s="104"/>
      <c r="E7" s="105"/>
      <c r="F7" s="104" t="s">
        <v>170</v>
      </c>
      <c r="G7" s="105"/>
    </row>
    <row r="8" spans="1:7" s="100" customFormat="1" ht="15.6">
      <c r="B8" s="104" t="s">
        <v>180</v>
      </c>
      <c r="C8" s="105"/>
      <c r="D8" s="105"/>
      <c r="E8" s="105"/>
      <c r="F8" s="105"/>
      <c r="G8" s="105"/>
    </row>
    <row r="9" spans="1:7" s="100" customFormat="1" ht="15.6"/>
    <row r="10" spans="1:7" s="100" customFormat="1" ht="15.6">
      <c r="B10" s="106" t="s">
        <v>171</v>
      </c>
    </row>
    <row r="11" spans="1:7" s="100" customFormat="1" ht="15.6">
      <c r="B11" s="102" t="s">
        <v>46</v>
      </c>
      <c r="C11" s="102" t="s">
        <v>47</v>
      </c>
      <c r="D11" s="102" t="s">
        <v>46</v>
      </c>
      <c r="E11" s="102" t="s">
        <v>47</v>
      </c>
      <c r="F11" s="102" t="s">
        <v>46</v>
      </c>
      <c r="G11" s="102" t="s">
        <v>47</v>
      </c>
    </row>
    <row r="12" spans="1:7" s="100" customFormat="1" ht="15.6">
      <c r="B12" s="104" t="s">
        <v>172</v>
      </c>
      <c r="C12" s="105" t="s">
        <v>173</v>
      </c>
      <c r="D12" s="104" t="s">
        <v>174</v>
      </c>
      <c r="E12" s="105" t="s">
        <v>187</v>
      </c>
      <c r="F12" s="104" t="s">
        <v>175</v>
      </c>
      <c r="G12" s="105" t="s">
        <v>185</v>
      </c>
    </row>
    <row r="13" spans="1:7" s="100" customFormat="1" ht="15.6">
      <c r="B13" s="104" t="s">
        <v>176</v>
      </c>
      <c r="C13" s="105" t="s">
        <v>182</v>
      </c>
      <c r="D13" s="104" t="s">
        <v>177</v>
      </c>
      <c r="E13" s="105" t="s">
        <v>181</v>
      </c>
      <c r="F13" s="104" t="s">
        <v>178</v>
      </c>
      <c r="G13" s="107" t="s">
        <v>186</v>
      </c>
    </row>
    <row r="14" spans="1:7" s="100" customFormat="1" ht="15.6">
      <c r="B14" s="104" t="s">
        <v>179</v>
      </c>
      <c r="C14" s="105" t="s">
        <v>197</v>
      </c>
      <c r="D14" s="105"/>
      <c r="E14" s="105"/>
      <c r="F14" s="104" t="s">
        <v>190</v>
      </c>
      <c r="G14" s="105" t="s">
        <v>40</v>
      </c>
    </row>
    <row r="15" spans="1:7" s="100" customFormat="1" ht="15.6"/>
    <row r="16" spans="1:7" s="100" customFormat="1" ht="15.6"/>
    <row r="17" s="100" customFormat="1" ht="15.6"/>
    <row r="18" s="100" customFormat="1" ht="15.6"/>
    <row r="19" s="100" customFormat="1" ht="15.6"/>
    <row r="20" s="100" customFormat="1" ht="15.6"/>
    <row r="21" s="100" customFormat="1" ht="15.6"/>
    <row r="22" s="100" customFormat="1" ht="15.6"/>
    <row r="23" s="100" customFormat="1" ht="15.6"/>
    <row r="24" s="100" customFormat="1" ht="15.6"/>
    <row r="25" s="100" customFormat="1" ht="15.6"/>
    <row r="26" s="100" customFormat="1" ht="15.6"/>
    <row r="27" s="100" customFormat="1" ht="15.6"/>
    <row r="28" s="100" customFormat="1" ht="15.6"/>
    <row r="29" s="100" customFormat="1" ht="15.6"/>
    <row r="30" s="100" customFormat="1" ht="15.6"/>
    <row r="31" s="100" customFormat="1" ht="15.6"/>
    <row r="32" s="100" customFormat="1" ht="15.6"/>
    <row r="33" s="100" customFormat="1" ht="15.6"/>
    <row r="34" s="100" customFormat="1" ht="15.6"/>
    <row r="35" s="100" customFormat="1" ht="15.6"/>
    <row r="36" s="100" customFormat="1" ht="15.6"/>
    <row r="37" s="100" customFormat="1" ht="15.6"/>
    <row r="38" s="100" customFormat="1" ht="15.6"/>
    <row r="39" s="100" customFormat="1" ht="15.6"/>
    <row r="40" s="100" customFormat="1" ht="15.6"/>
    <row r="41" s="100" customFormat="1" ht="15.6"/>
    <row r="42" s="100" customFormat="1" ht="15.6"/>
  </sheetData>
  <phoneticPr fontId="1" type="noConversion"/>
  <hyperlinks>
    <hyperlink ref="B1" location="정보구조도!A1" display="정보구조도!A1" xr:uid="{7D6F4F0E-4685-4BC3-A3D0-15378235A5B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8A9E-1336-4109-8803-6D6E314FF424}">
  <sheetPr>
    <tabColor theme="8" tint="0.79998168889431442"/>
  </sheetPr>
  <dimension ref="B1:N9"/>
  <sheetViews>
    <sheetView showGridLines="0" zoomScale="85" zoomScaleNormal="85" workbookViewId="0"/>
  </sheetViews>
  <sheetFormatPr defaultRowHeight="17.399999999999999"/>
  <cols>
    <col min="1" max="1" width="2.69921875" customWidth="1"/>
    <col min="2" max="2" width="3.8984375" bestFit="1" customWidth="1"/>
    <col min="3" max="3" width="9.8984375" bestFit="1" customWidth="1"/>
    <col min="4" max="4" width="15.69921875" customWidth="1"/>
    <col min="5" max="5" width="14.19921875" bestFit="1" customWidth="1"/>
    <col min="6" max="6" width="9.8984375" bestFit="1" customWidth="1"/>
    <col min="7" max="7" width="10.09765625" bestFit="1" customWidth="1"/>
    <col min="8" max="9" width="14.69921875" customWidth="1"/>
    <col min="10" max="10" width="23.69921875" bestFit="1" customWidth="1"/>
    <col min="11" max="11" width="23.69921875" customWidth="1"/>
    <col min="12" max="12" width="10.296875" bestFit="1" customWidth="1"/>
    <col min="14" max="14" width="13.3984375" customWidth="1"/>
  </cols>
  <sheetData>
    <row r="1" spans="2:14">
      <c r="B1" s="98" t="s">
        <v>303</v>
      </c>
    </row>
    <row r="2" spans="2:14">
      <c r="B2" s="52" t="str" cm="1">
        <f t="array" aca="1" ref="B2" ca="1">MID(CELL("filename",A1),FIND("]",CELL("filename",A1))+1,255)</f>
        <v>Z1-(1) 회원 관리</v>
      </c>
      <c r="E2" s="15"/>
      <c r="F2" s="15"/>
      <c r="G2" s="14"/>
    </row>
    <row r="3" spans="2:14">
      <c r="B3" s="10" t="s">
        <v>30</v>
      </c>
      <c r="C3" s="10" t="s">
        <v>199</v>
      </c>
      <c r="D3" s="10" t="s">
        <v>273</v>
      </c>
      <c r="E3" s="10" t="s">
        <v>189</v>
      </c>
      <c r="F3" s="10" t="s">
        <v>214</v>
      </c>
      <c r="G3" s="10" t="s">
        <v>215</v>
      </c>
      <c r="H3" s="10" t="s">
        <v>274</v>
      </c>
      <c r="I3" s="10" t="s">
        <v>275</v>
      </c>
      <c r="J3" s="10" t="s">
        <v>253</v>
      </c>
      <c r="K3" s="10" t="s">
        <v>284</v>
      </c>
      <c r="L3" s="67" t="s">
        <v>254</v>
      </c>
      <c r="M3" s="67" t="s">
        <v>283</v>
      </c>
      <c r="N3" s="67" t="s">
        <v>286</v>
      </c>
    </row>
    <row r="4" spans="2:14">
      <c r="B4" s="11">
        <v>1</v>
      </c>
      <c r="C4" s="11" t="s">
        <v>192</v>
      </c>
      <c r="D4" s="11" t="s">
        <v>257</v>
      </c>
      <c r="E4" s="94" t="s">
        <v>267</v>
      </c>
      <c r="F4" s="94"/>
      <c r="G4" s="94" t="s">
        <v>277</v>
      </c>
      <c r="H4" s="94" t="s">
        <v>281</v>
      </c>
      <c r="I4" s="94" t="s">
        <v>282</v>
      </c>
      <c r="J4" s="11" t="s">
        <v>276</v>
      </c>
      <c r="K4" s="11" t="s">
        <v>196</v>
      </c>
      <c r="L4" s="95">
        <v>46037</v>
      </c>
      <c r="M4" s="108" t="s">
        <v>154</v>
      </c>
      <c r="N4" s="68" t="s">
        <v>287</v>
      </c>
    </row>
    <row r="5" spans="2:14">
      <c r="B5" s="11">
        <v>2</v>
      </c>
      <c r="C5" s="11" t="s">
        <v>193</v>
      </c>
      <c r="D5" s="11" t="s">
        <v>259</v>
      </c>
      <c r="E5" s="94" t="s">
        <v>266</v>
      </c>
      <c r="F5" s="94"/>
      <c r="G5" s="94" t="s">
        <v>278</v>
      </c>
      <c r="H5" s="94" t="s">
        <v>281</v>
      </c>
      <c r="I5" s="94" t="s">
        <v>282</v>
      </c>
      <c r="J5" s="11" t="s">
        <v>269</v>
      </c>
      <c r="K5" s="11" t="s">
        <v>196</v>
      </c>
      <c r="L5" s="95">
        <v>46037</v>
      </c>
      <c r="M5" s="108" t="s">
        <v>285</v>
      </c>
      <c r="N5" s="68" t="s">
        <v>287</v>
      </c>
    </row>
    <row r="6" spans="2:14">
      <c r="B6" s="11">
        <v>3</v>
      </c>
      <c r="C6" s="11" t="s">
        <v>262</v>
      </c>
      <c r="D6" s="11" t="s">
        <v>261</v>
      </c>
      <c r="E6" s="94" t="s">
        <v>260</v>
      </c>
      <c r="F6" s="94"/>
      <c r="G6" s="94" t="s">
        <v>279</v>
      </c>
      <c r="H6" s="94" t="s">
        <v>281</v>
      </c>
      <c r="I6" s="94" t="s">
        <v>282</v>
      </c>
      <c r="J6" s="11" t="s">
        <v>270</v>
      </c>
      <c r="K6" s="11" t="s">
        <v>196</v>
      </c>
      <c r="L6" s="95">
        <v>46037</v>
      </c>
      <c r="M6" s="108" t="s">
        <v>285</v>
      </c>
      <c r="N6" s="68" t="s">
        <v>287</v>
      </c>
    </row>
    <row r="7" spans="2:14">
      <c r="B7" s="11">
        <v>4</v>
      </c>
      <c r="C7" s="11" t="s">
        <v>193</v>
      </c>
      <c r="D7" s="11" t="s">
        <v>264</v>
      </c>
      <c r="E7" s="94" t="s">
        <v>263</v>
      </c>
      <c r="F7" s="94"/>
      <c r="G7" s="94" t="s">
        <v>185</v>
      </c>
      <c r="H7" s="94" t="s">
        <v>281</v>
      </c>
      <c r="I7" s="94" t="s">
        <v>282</v>
      </c>
      <c r="J7" s="11" t="s">
        <v>271</v>
      </c>
      <c r="K7" s="11" t="s">
        <v>196</v>
      </c>
      <c r="L7" s="95">
        <v>46037</v>
      </c>
      <c r="M7" s="108" t="s">
        <v>154</v>
      </c>
      <c r="N7" s="68" t="s">
        <v>287</v>
      </c>
    </row>
    <row r="8" spans="2:14">
      <c r="B8" s="11">
        <v>5</v>
      </c>
      <c r="C8" s="11" t="s">
        <v>193</v>
      </c>
      <c r="D8" s="11" t="s">
        <v>265</v>
      </c>
      <c r="E8" s="94" t="s">
        <v>268</v>
      </c>
      <c r="F8" s="94"/>
      <c r="G8" s="94" t="s">
        <v>280</v>
      </c>
      <c r="H8" s="94" t="s">
        <v>281</v>
      </c>
      <c r="I8" s="94" t="s">
        <v>282</v>
      </c>
      <c r="J8" s="11" t="s">
        <v>272</v>
      </c>
      <c r="K8" s="11" t="s">
        <v>196</v>
      </c>
      <c r="L8" s="95">
        <v>46037</v>
      </c>
      <c r="M8" s="108" t="s">
        <v>285</v>
      </c>
      <c r="N8" s="68" t="s">
        <v>287</v>
      </c>
    </row>
    <row r="9" spans="2:14">
      <c r="B9" s="11" t="s">
        <v>45</v>
      </c>
      <c r="C9" s="11"/>
      <c r="D9" s="11" t="s">
        <v>45</v>
      </c>
      <c r="E9" s="11" t="s">
        <v>45</v>
      </c>
      <c r="F9" s="11"/>
      <c r="G9" s="11"/>
      <c r="H9" s="11"/>
      <c r="I9" s="11"/>
      <c r="J9" s="11"/>
      <c r="K9" s="11"/>
      <c r="L9" s="11" t="s">
        <v>45</v>
      </c>
      <c r="M9" s="11" t="s">
        <v>45</v>
      </c>
      <c r="N9" s="11"/>
    </row>
  </sheetData>
  <phoneticPr fontId="1" type="noConversion"/>
  <hyperlinks>
    <hyperlink ref="B1" location="정보구조도!A1" display="정보구조도!A1" xr:uid="{7E1AA0B0-76D7-40CB-8B95-FEECF99D244D}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BC37-3261-40DA-A38E-3AD706BFA8B1}">
  <sheetPr>
    <tabColor theme="8" tint="0.79998168889431442"/>
  </sheetPr>
  <dimension ref="B1:I8"/>
  <sheetViews>
    <sheetView showGridLines="0" zoomScale="85" zoomScaleNormal="85" workbookViewId="0"/>
  </sheetViews>
  <sheetFormatPr defaultRowHeight="17.399999999999999"/>
  <cols>
    <col min="1" max="1" width="2.69921875" customWidth="1"/>
    <col min="2" max="2" width="3.8984375" bestFit="1" customWidth="1"/>
    <col min="3" max="3" width="9.8984375" bestFit="1" customWidth="1"/>
    <col min="4" max="4" width="14.19921875" bestFit="1" customWidth="1"/>
    <col min="5" max="5" width="15.69921875" customWidth="1"/>
    <col min="6" max="6" width="33.296875" customWidth="1"/>
    <col min="7" max="7" width="11.19921875" customWidth="1"/>
    <col min="8" max="9" width="14.69921875" customWidth="1"/>
  </cols>
  <sheetData>
    <row r="1" spans="2:9">
      <c r="B1" s="98" t="s">
        <v>303</v>
      </c>
    </row>
    <row r="2" spans="2:9">
      <c r="B2" s="52" t="str" cm="1">
        <f t="array" aca="1" ref="B2" ca="1">MID(CELL("filename",B1),FIND("]",CELL("filename",B1))+1,255)</f>
        <v>Z2-(1) 상담 관리</v>
      </c>
      <c r="D2" s="15"/>
      <c r="F2" s="15"/>
      <c r="G2" s="14"/>
    </row>
    <row r="3" spans="2:9">
      <c r="B3" s="10" t="s">
        <v>30</v>
      </c>
      <c r="C3" s="10" t="s">
        <v>301</v>
      </c>
      <c r="D3" s="10" t="s">
        <v>273</v>
      </c>
      <c r="E3" s="10" t="s">
        <v>201</v>
      </c>
      <c r="F3" s="10" t="s">
        <v>234</v>
      </c>
      <c r="G3" s="10" t="s">
        <v>288</v>
      </c>
      <c r="H3" s="10" t="s">
        <v>289</v>
      </c>
      <c r="I3" s="10" t="s">
        <v>255</v>
      </c>
    </row>
    <row r="4" spans="2:9">
      <c r="B4" s="11">
        <v>1</v>
      </c>
      <c r="C4" s="11" t="s">
        <v>290</v>
      </c>
      <c r="D4" s="94" t="s">
        <v>257</v>
      </c>
      <c r="E4" s="11" t="s">
        <v>256</v>
      </c>
      <c r="F4" s="94" t="s">
        <v>291</v>
      </c>
      <c r="G4" s="95">
        <v>45225</v>
      </c>
      <c r="H4" s="1" t="s">
        <v>292</v>
      </c>
      <c r="I4" s="1" t="s">
        <v>293</v>
      </c>
    </row>
    <row r="5" spans="2:9">
      <c r="B5" s="11">
        <v>2</v>
      </c>
      <c r="C5" s="11" t="s">
        <v>294</v>
      </c>
      <c r="D5" s="94" t="s">
        <v>259</v>
      </c>
      <c r="E5" s="11" t="s">
        <v>258</v>
      </c>
      <c r="F5" s="94" t="s">
        <v>295</v>
      </c>
      <c r="G5" s="95">
        <v>45224</v>
      </c>
      <c r="H5" s="94" t="s">
        <v>296</v>
      </c>
      <c r="I5" s="94" t="s">
        <v>297</v>
      </c>
    </row>
    <row r="6" spans="2:9">
      <c r="B6" s="11">
        <v>3</v>
      </c>
      <c r="C6" s="11" t="s">
        <v>290</v>
      </c>
      <c r="D6" s="94" t="s">
        <v>299</v>
      </c>
      <c r="E6" s="11" t="s">
        <v>298</v>
      </c>
      <c r="F6" s="94" t="s">
        <v>300</v>
      </c>
      <c r="G6" s="95">
        <v>45223</v>
      </c>
      <c r="H6" s="1" t="s">
        <v>292</v>
      </c>
      <c r="I6" s="1" t="s">
        <v>293</v>
      </c>
    </row>
    <row r="7" spans="2:9">
      <c r="B7" s="11">
        <v>4</v>
      </c>
      <c r="C7" s="11" t="s">
        <v>294</v>
      </c>
      <c r="D7" s="94" t="s">
        <v>264</v>
      </c>
      <c r="E7" s="11" t="s">
        <v>263</v>
      </c>
      <c r="F7" s="94" t="s">
        <v>302</v>
      </c>
      <c r="G7" s="95">
        <v>45222</v>
      </c>
      <c r="H7" s="94" t="s">
        <v>296</v>
      </c>
      <c r="I7" s="94" t="s">
        <v>297</v>
      </c>
    </row>
    <row r="8" spans="2:9">
      <c r="B8" s="11" t="s">
        <v>45</v>
      </c>
      <c r="C8" s="11"/>
      <c r="D8" s="11" t="s">
        <v>45</v>
      </c>
      <c r="E8" s="11" t="s">
        <v>45</v>
      </c>
      <c r="F8" s="11"/>
      <c r="G8" s="11"/>
      <c r="H8" s="11"/>
      <c r="I8" s="11"/>
    </row>
  </sheetData>
  <phoneticPr fontId="1" type="noConversion"/>
  <hyperlinks>
    <hyperlink ref="B1" location="정보구조도!A1" display="정보구조도!A1" xr:uid="{61318B3F-DD8A-409C-81F9-19A744289295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AF23-FBDB-4C8F-9693-6A8491ABBB28}">
  <sheetPr>
    <tabColor theme="1"/>
  </sheetPr>
  <dimension ref="A1"/>
  <sheetViews>
    <sheetView showGridLines="0" zoomScale="85" zoomScaleNormal="85" workbookViewId="0"/>
  </sheetViews>
  <sheetFormatPr defaultRowHeight="17.399999999999999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D5CC6F685E6A4A994E95D619E7209F" ma:contentTypeVersion="3" ma:contentTypeDescription="Create a new document." ma:contentTypeScope="" ma:versionID="8fd03ddb9c856c1bd5356e5953e39a17">
  <xsd:schema xmlns:xsd="http://www.w3.org/2001/XMLSchema" xmlns:xs="http://www.w3.org/2001/XMLSchema" xmlns:p="http://schemas.microsoft.com/office/2006/metadata/properties" xmlns:ns2="9da1e84b-5d81-4e0d-86c6-0794c322409c" targetNamespace="http://schemas.microsoft.com/office/2006/metadata/properties" ma:root="true" ma:fieldsID="72b24ab34dcf4bd7d4bf4eeabea4fdd8" ns2:_="">
    <xsd:import namespace="9da1e84b-5d81-4e0d-86c6-0794c3224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1e84b-5d81-4e0d-86c6-0794c32240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002EEE-43D6-4C2C-AAA1-2010B3D528C5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9da1e84b-5d81-4e0d-86c6-0794c322409c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07076A9-84A5-4557-8CDE-B271328DFF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0372DF-FD98-4B69-AC93-CC44F1A4D8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Index</vt:lpstr>
      <vt:lpstr>▶개요</vt:lpstr>
      <vt:lpstr>상단메뉴</vt:lpstr>
      <vt:lpstr>정보구조도</vt:lpstr>
      <vt:lpstr>▶상세페이지</vt:lpstr>
      <vt:lpstr>C1 공지사항</vt:lpstr>
      <vt:lpstr>C2-(1) Pool 목록</vt:lpstr>
      <vt:lpstr>C2-(2) Pool 상세정보</vt:lpstr>
      <vt:lpstr>C3-(2) 거래자료 등록-매도인</vt:lpstr>
      <vt:lpstr>C3-(2) 거래자료 등록-매수인</vt:lpstr>
      <vt:lpstr>C3-(2) 매각자료 등록-회계법인</vt:lpstr>
      <vt:lpstr>D2-(1) 용어 사전</vt:lpstr>
      <vt:lpstr>X 회원가입</vt:lpstr>
      <vt:lpstr>Y 마이페이지</vt:lpstr>
      <vt:lpstr>Z1-(1) 회원 관리</vt:lpstr>
      <vt:lpstr>Z2-(1) 상담 관리</vt:lpstr>
      <vt:lpstr>▶Backup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Mingyu Oh</dc:creator>
  <cp:lastModifiedBy>MinGyu Oh (KR - ADVS)</cp:lastModifiedBy>
  <dcterms:created xsi:type="dcterms:W3CDTF">2015-06-05T18:17:20Z</dcterms:created>
  <dcterms:modified xsi:type="dcterms:W3CDTF">2026-03-06T00:36:13Z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0x01010004D5CC6F685E6A4A994E95D619E7209F</vt:lpwstr>
  </property>
  <property fmtid="{D5CDD505-2E9C-101B-9397-08002B2CF9AE}" pid="3" name="ShowPageNumber">
    <vt:lpwstr>False</vt:lpwstr>
  </property>
</Properties>
</file>